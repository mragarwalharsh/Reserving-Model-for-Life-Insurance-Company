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Excel\Resume\General Insurance\Reserving - Average Cost Per Claim Method\"/>
    </mc:Choice>
  </mc:AlternateContent>
  <xr:revisionPtr revIDLastSave="0" documentId="13_ncr:1_{1CC2B742-07FE-4A85-896F-3B321AB72F31}" xr6:coauthVersionLast="47" xr6:coauthVersionMax="47" xr10:uidLastSave="{00000000-0000-0000-0000-000000000000}"/>
  <bookViews>
    <workbookView xWindow="-120" yWindow="-120" windowWidth="20730" windowHeight="11160" xr2:uid="{553C2272-5E36-4F8B-9078-1E61F8EBF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C66" i="1"/>
  <c r="C67" i="1" s="1"/>
  <c r="C68" i="1" s="1"/>
  <c r="C69" i="1" s="1"/>
  <c r="C70" i="1" s="1"/>
  <c r="C55" i="1"/>
  <c r="C56" i="1" s="1"/>
  <c r="C57" i="1" s="1"/>
  <c r="C58" i="1" s="1"/>
  <c r="C59" i="1" s="1"/>
  <c r="E53" i="1"/>
  <c r="F53" i="1" s="1"/>
  <c r="G53" i="1" s="1"/>
  <c r="H53" i="1" s="1"/>
  <c r="I53" i="1" s="1"/>
  <c r="C44" i="1"/>
  <c r="C45" i="1" s="1"/>
  <c r="C46" i="1" s="1"/>
  <c r="C47" i="1" s="1"/>
  <c r="C48" i="1" s="1"/>
  <c r="E42" i="1"/>
  <c r="F42" i="1" s="1"/>
  <c r="G42" i="1" s="1"/>
  <c r="H42" i="1" s="1"/>
  <c r="I42" i="1" s="1"/>
  <c r="F35" i="1"/>
  <c r="F34" i="1"/>
  <c r="G34" i="1"/>
  <c r="F33" i="1"/>
  <c r="G33" i="1"/>
  <c r="H33" i="1"/>
  <c r="F32" i="1"/>
  <c r="G32" i="1"/>
  <c r="H32" i="1"/>
  <c r="I32" i="1"/>
  <c r="J32" i="1" s="1"/>
  <c r="E32" i="1"/>
  <c r="E33" i="1"/>
  <c r="E34" i="1"/>
  <c r="E35" i="1"/>
  <c r="E36" i="1"/>
  <c r="D33" i="1"/>
  <c r="D34" i="1"/>
  <c r="D35" i="1"/>
  <c r="D36" i="1"/>
  <c r="D37" i="1"/>
  <c r="D32" i="1"/>
  <c r="C33" i="1"/>
  <c r="C34" i="1" s="1"/>
  <c r="C35" i="1" s="1"/>
  <c r="C36" i="1" s="1"/>
  <c r="C37" i="1" s="1"/>
  <c r="E31" i="1"/>
  <c r="F31" i="1" s="1"/>
  <c r="G31" i="1" s="1"/>
  <c r="H31" i="1" s="1"/>
  <c r="I31" i="1" s="1"/>
  <c r="J21" i="1"/>
  <c r="J54" i="1" s="1"/>
  <c r="C22" i="1"/>
  <c r="C23" i="1" s="1"/>
  <c r="C24" i="1" s="1"/>
  <c r="C25" i="1" s="1"/>
  <c r="C26" i="1" s="1"/>
  <c r="E20" i="1"/>
  <c r="F20" i="1" s="1"/>
  <c r="G20" i="1" s="1"/>
  <c r="H20" i="1" s="1"/>
  <c r="I20" i="1" s="1"/>
  <c r="J10" i="1"/>
  <c r="K10" i="1" s="1"/>
  <c r="E9" i="1"/>
  <c r="F9" i="1" s="1"/>
  <c r="G9" i="1" s="1"/>
  <c r="H9" i="1" s="1"/>
  <c r="I9" i="1" s="1"/>
  <c r="C11" i="1"/>
  <c r="C12" i="1" s="1"/>
  <c r="C13" i="1" s="1"/>
  <c r="C14" i="1" s="1"/>
  <c r="C15" i="1" s="1"/>
  <c r="D65" i="1" l="1"/>
  <c r="E43" i="1"/>
  <c r="D54" i="1"/>
  <c r="F54" i="1"/>
  <c r="I54" i="1"/>
  <c r="E54" i="1"/>
  <c r="G54" i="1"/>
  <c r="H54" i="1"/>
  <c r="H55" i="1" s="1"/>
  <c r="J55" i="1" s="1"/>
  <c r="D2" i="1"/>
  <c r="D43" i="1"/>
  <c r="G43" i="1"/>
  <c r="F43" i="1"/>
  <c r="I43" i="1"/>
  <c r="H43" i="1"/>
  <c r="H44" i="1" s="1"/>
  <c r="J33" i="1" s="1"/>
  <c r="E55" i="1" l="1"/>
  <c r="G55" i="1"/>
  <c r="G56" i="1" s="1"/>
  <c r="J56" i="1" s="1"/>
  <c r="D55" i="1"/>
  <c r="F55" i="1"/>
  <c r="D66" i="1"/>
  <c r="G44" i="1"/>
  <c r="G45" i="1" s="1"/>
  <c r="J34" i="1" s="1"/>
  <c r="E44" i="1"/>
  <c r="F44" i="1"/>
  <c r="D44" i="1"/>
  <c r="D67" i="1" l="1"/>
  <c r="F56" i="1"/>
  <c r="F57" i="1" s="1"/>
  <c r="J57" i="1" s="1"/>
  <c r="E56" i="1"/>
  <c r="D56" i="1"/>
  <c r="D45" i="1"/>
  <c r="E45" i="1"/>
  <c r="F45" i="1"/>
  <c r="F46" i="1" s="1"/>
  <c r="J35" i="1" s="1"/>
  <c r="D57" i="1" l="1"/>
  <c r="D68" i="1"/>
  <c r="E57" i="1"/>
  <c r="E58" i="1" s="1"/>
  <c r="J58" i="1" s="1"/>
  <c r="E46" i="1"/>
  <c r="E47" i="1" s="1"/>
  <c r="J36" i="1" s="1"/>
  <c r="D47" i="1" s="1"/>
  <c r="D46" i="1"/>
  <c r="D69" i="1" l="1"/>
  <c r="D58" i="1"/>
  <c r="D59" i="1"/>
  <c r="J59" i="1" s="1"/>
  <c r="D48" i="1"/>
  <c r="J37" i="1" s="1"/>
  <c r="D70" i="1" l="1"/>
  <c r="D1" i="1" s="1"/>
  <c r="D3" i="1" s="1"/>
</calcChain>
</file>

<file path=xl/sharedStrings.xml><?xml version="1.0" encoding="utf-8"?>
<sst xmlns="http://schemas.openxmlformats.org/spreadsheetml/2006/main" count="21" uniqueCount="11">
  <si>
    <t>AY</t>
  </si>
  <si>
    <t>Ultimate</t>
  </si>
  <si>
    <t>Total Claims Incurred</t>
  </si>
  <si>
    <t>Number of Claims</t>
  </si>
  <si>
    <t>Accumulated Average Cost Per Claim</t>
  </si>
  <si>
    <t>Proportion of Settlement</t>
  </si>
  <si>
    <t>Projected Claim Payments</t>
  </si>
  <si>
    <t>Total Claims</t>
  </si>
  <si>
    <t>Paid Claims</t>
  </si>
  <si>
    <t>Reported</t>
  </si>
  <si>
    <t>Reserve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</si>
</sst>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3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/>
    <xf numFmtId="0" fontId="2" fillId="0" borderId="1" xfId="0" applyFont="1" applyBorder="1"/>
    <xf numFmtId="164" fontId="0" fillId="0" borderId="1" xfId="1" applyNumberFormat="1" applyFont="1" applyBorder="1"/>
    <xf numFmtId="9" fontId="0" fillId="0" borderId="1" xfId="1" applyFont="1" applyBorder="1"/>
    <xf numFmtId="165" fontId="0" fillId="0" borderId="0" xfId="0" applyNumberFormat="1"/>
    <xf numFmtId="44" fontId="0" fillId="0" borderId="1" xfId="2" applyFont="1" applyBorder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93E2-E665-4184-98A8-8E711DE6FB34}">
  <dimension ref="C1:K70"/>
  <sheetViews>
    <sheetView tabSelected="1" topLeftCell="A45" workbookViewId="0">
      <selection activeCell="D65" sqref="D65"/>
    </sheetView>
  </sheetViews>
  <sheetFormatPr defaultRowHeight="15" x14ac:dyDescent="0.25"/>
  <cols>
    <col min="3" max="3" width="20.5703125" bestFit="1" customWidth="1"/>
    <col min="4" max="4" width="11.28515625" bestFit="1" customWidth="1"/>
    <col min="5" max="11" width="10.5703125" bestFit="1" customWidth="1"/>
  </cols>
  <sheetData>
    <row r="1" spans="3:11" x14ac:dyDescent="0.25">
      <c r="C1" t="s">
        <v>7</v>
      </c>
      <c r="D1" s="3">
        <f>SUM(D65:D70)</f>
        <v>33981.460355795287</v>
      </c>
    </row>
    <row r="2" spans="3:11" x14ac:dyDescent="0.25">
      <c r="C2" t="s">
        <v>8</v>
      </c>
      <c r="D2" s="9">
        <f ca="1">SUM(K10:K15)</f>
        <v>30618</v>
      </c>
    </row>
    <row r="3" spans="3:11" x14ac:dyDescent="0.25">
      <c r="C3" t="s">
        <v>10</v>
      </c>
      <c r="D3" s="4">
        <f ca="1">D1-D2</f>
        <v>3363.4603557952869</v>
      </c>
    </row>
    <row r="7" spans="3:11" x14ac:dyDescent="0.25">
      <c r="C7" t="s">
        <v>2</v>
      </c>
    </row>
    <row r="9" spans="3:11" x14ac:dyDescent="0.25">
      <c r="C9" s="6" t="s">
        <v>0</v>
      </c>
      <c r="D9" s="6">
        <v>0</v>
      </c>
      <c r="E9" s="6">
        <f>D9+1</f>
        <v>1</v>
      </c>
      <c r="F9" s="6">
        <f t="shared" ref="F9:I9" si="0">E9+1</f>
        <v>2</v>
      </c>
      <c r="G9" s="6">
        <f t="shared" si="0"/>
        <v>3</v>
      </c>
      <c r="H9" s="6">
        <f t="shared" si="0"/>
        <v>4</v>
      </c>
      <c r="I9" s="6">
        <f t="shared" si="0"/>
        <v>5</v>
      </c>
      <c r="J9" t="s">
        <v>1</v>
      </c>
      <c r="K9" t="s">
        <v>9</v>
      </c>
    </row>
    <row r="10" spans="3:11" x14ac:dyDescent="0.25">
      <c r="C10" s="6">
        <v>2009</v>
      </c>
      <c r="D10" s="10">
        <v>2777</v>
      </c>
      <c r="E10" s="10">
        <v>3264</v>
      </c>
      <c r="F10" s="10">
        <v>3452</v>
      </c>
      <c r="G10" s="10">
        <v>3594</v>
      </c>
      <c r="H10" s="10">
        <v>3719</v>
      </c>
      <c r="I10" s="10">
        <v>3717</v>
      </c>
      <c r="J10" s="11">
        <f>I10</f>
        <v>3717</v>
      </c>
      <c r="K10" s="11">
        <f ca="1">OFFSET(C10,0,COUNT(D10:J10),1,1)</f>
        <v>3717</v>
      </c>
    </row>
    <row r="11" spans="3:11" x14ac:dyDescent="0.25">
      <c r="C11" s="6">
        <f>C10+1</f>
        <v>2010</v>
      </c>
      <c r="D11" s="10">
        <v>3252</v>
      </c>
      <c r="E11" s="10">
        <v>3804</v>
      </c>
      <c r="F11" s="10">
        <v>3973</v>
      </c>
      <c r="G11" s="10">
        <v>4231</v>
      </c>
      <c r="H11" s="10">
        <v>4319</v>
      </c>
      <c r="I11" s="10"/>
      <c r="J11" s="11"/>
      <c r="K11" s="11">
        <f t="shared" ref="K11:K15" ca="1" si="1">OFFSET(C11,0,COUNT(D11:J11),1,1)</f>
        <v>4319</v>
      </c>
    </row>
    <row r="12" spans="3:11" x14ac:dyDescent="0.25">
      <c r="C12" s="6">
        <f t="shared" ref="C12:C15" si="2">C11+1</f>
        <v>2011</v>
      </c>
      <c r="D12" s="10">
        <v>3725</v>
      </c>
      <c r="E12" s="10">
        <v>4404</v>
      </c>
      <c r="F12" s="10">
        <v>4779</v>
      </c>
      <c r="G12" s="10">
        <v>4946</v>
      </c>
      <c r="H12" s="10"/>
      <c r="I12" s="10"/>
      <c r="J12" s="11"/>
      <c r="K12" s="11">
        <f t="shared" ca="1" si="1"/>
        <v>4946</v>
      </c>
    </row>
    <row r="13" spans="3:11" x14ac:dyDescent="0.25">
      <c r="C13" s="6">
        <f t="shared" si="2"/>
        <v>2012</v>
      </c>
      <c r="D13" s="10">
        <v>4521</v>
      </c>
      <c r="E13" s="10">
        <v>5422</v>
      </c>
      <c r="F13" s="10">
        <v>5676</v>
      </c>
      <c r="G13" s="10"/>
      <c r="H13" s="10"/>
      <c r="I13" s="10"/>
      <c r="J13" s="11"/>
      <c r="K13" s="11">
        <f t="shared" ca="1" si="1"/>
        <v>5676</v>
      </c>
    </row>
    <row r="14" spans="3:11" x14ac:dyDescent="0.25">
      <c r="C14" s="6">
        <f t="shared" si="2"/>
        <v>2013</v>
      </c>
      <c r="D14" s="10">
        <v>5369</v>
      </c>
      <c r="E14" s="10">
        <v>6142</v>
      </c>
      <c r="F14" s="10"/>
      <c r="G14" s="10"/>
      <c r="H14" s="10"/>
      <c r="I14" s="10"/>
      <c r="J14" s="11"/>
      <c r="K14" s="11">
        <f t="shared" ca="1" si="1"/>
        <v>6142</v>
      </c>
    </row>
    <row r="15" spans="3:11" x14ac:dyDescent="0.25">
      <c r="C15" s="6">
        <f t="shared" si="2"/>
        <v>2014</v>
      </c>
      <c r="D15" s="10">
        <v>5818</v>
      </c>
      <c r="E15" s="10"/>
      <c r="F15" s="10"/>
      <c r="G15" s="10"/>
      <c r="H15" s="10"/>
      <c r="I15" s="10"/>
      <c r="J15" s="11"/>
      <c r="K15" s="11">
        <f t="shared" ca="1" si="1"/>
        <v>5818</v>
      </c>
    </row>
    <row r="18" spans="3:10" x14ac:dyDescent="0.25">
      <c r="C18" t="s">
        <v>3</v>
      </c>
    </row>
    <row r="20" spans="3:10" x14ac:dyDescent="0.25">
      <c r="C20" s="6" t="s">
        <v>0</v>
      </c>
      <c r="D20" s="6">
        <v>0</v>
      </c>
      <c r="E20" s="6">
        <f>D20+1</f>
        <v>1</v>
      </c>
      <c r="F20" s="6">
        <f t="shared" ref="F20:I20" si="3">E20+1</f>
        <v>2</v>
      </c>
      <c r="G20" s="6">
        <f t="shared" si="3"/>
        <v>3</v>
      </c>
      <c r="H20" s="6">
        <f t="shared" si="3"/>
        <v>4</v>
      </c>
      <c r="I20" s="6">
        <f t="shared" si="3"/>
        <v>5</v>
      </c>
      <c r="J20" t="s">
        <v>1</v>
      </c>
    </row>
    <row r="21" spans="3:10" x14ac:dyDescent="0.25">
      <c r="C21" s="6">
        <v>2009</v>
      </c>
      <c r="D21" s="5">
        <v>414</v>
      </c>
      <c r="E21" s="5">
        <v>460</v>
      </c>
      <c r="F21" s="5">
        <v>482</v>
      </c>
      <c r="G21" s="5">
        <v>488</v>
      </c>
      <c r="H21" s="5">
        <v>492</v>
      </c>
      <c r="I21" s="5">
        <v>494</v>
      </c>
      <c r="J21">
        <f>I21</f>
        <v>494</v>
      </c>
    </row>
    <row r="22" spans="3:10" x14ac:dyDescent="0.25">
      <c r="C22" s="6">
        <f>C21+1</f>
        <v>2010</v>
      </c>
      <c r="D22" s="5">
        <v>453</v>
      </c>
      <c r="E22" s="5">
        <v>506</v>
      </c>
      <c r="F22" s="5">
        <v>526</v>
      </c>
      <c r="G22" s="5">
        <v>536</v>
      </c>
      <c r="H22" s="5">
        <v>539</v>
      </c>
      <c r="I22" s="5"/>
    </row>
    <row r="23" spans="3:10" x14ac:dyDescent="0.25">
      <c r="C23" s="6">
        <f t="shared" ref="C23:C26" si="4">C22+1</f>
        <v>2011</v>
      </c>
      <c r="D23" s="5">
        <v>494</v>
      </c>
      <c r="E23" s="5">
        <v>548</v>
      </c>
      <c r="F23" s="5">
        <v>572</v>
      </c>
      <c r="G23" s="5">
        <v>582</v>
      </c>
      <c r="H23" s="5"/>
      <c r="I23" s="5"/>
    </row>
    <row r="24" spans="3:10" x14ac:dyDescent="0.25">
      <c r="C24" s="6">
        <f t="shared" si="4"/>
        <v>2012</v>
      </c>
      <c r="D24" s="5">
        <v>530</v>
      </c>
      <c r="E24" s="5">
        <v>588</v>
      </c>
      <c r="F24" s="5">
        <v>615</v>
      </c>
      <c r="G24" s="5"/>
      <c r="H24" s="5"/>
      <c r="I24" s="5"/>
    </row>
    <row r="25" spans="3:10" x14ac:dyDescent="0.25">
      <c r="C25" s="6">
        <f t="shared" si="4"/>
        <v>2013</v>
      </c>
      <c r="D25" s="5">
        <v>545</v>
      </c>
      <c r="E25" s="5">
        <v>605</v>
      </c>
      <c r="F25" s="5"/>
      <c r="G25" s="5"/>
      <c r="H25" s="5"/>
      <c r="I25" s="5"/>
    </row>
    <row r="26" spans="3:10" x14ac:dyDescent="0.25">
      <c r="C26" s="6">
        <f t="shared" si="4"/>
        <v>2014</v>
      </c>
      <c r="D26" s="5">
        <v>557</v>
      </c>
      <c r="E26" s="5"/>
      <c r="F26" s="5"/>
      <c r="G26" s="5"/>
      <c r="H26" s="5"/>
      <c r="I26" s="5"/>
    </row>
    <row r="29" spans="3:10" x14ac:dyDescent="0.25">
      <c r="C29" t="s">
        <v>4</v>
      </c>
    </row>
    <row r="31" spans="3:10" x14ac:dyDescent="0.25">
      <c r="C31" s="6" t="s">
        <v>0</v>
      </c>
      <c r="D31" s="6">
        <v>0</v>
      </c>
      <c r="E31" s="6">
        <f>D31+1</f>
        <v>1</v>
      </c>
      <c r="F31" s="6">
        <f t="shared" ref="F31:I31" si="5">E31+1</f>
        <v>2</v>
      </c>
      <c r="G31" s="6">
        <f t="shared" si="5"/>
        <v>3</v>
      </c>
      <c r="H31" s="6">
        <f t="shared" si="5"/>
        <v>4</v>
      </c>
      <c r="I31" s="6">
        <f t="shared" si="5"/>
        <v>5</v>
      </c>
      <c r="J31" t="s">
        <v>1</v>
      </c>
    </row>
    <row r="32" spans="3:10" x14ac:dyDescent="0.25">
      <c r="C32" s="6">
        <v>2009</v>
      </c>
      <c r="D32" s="10">
        <f t="shared" ref="D32:I32" si="6">D10/D21</f>
        <v>6.7077294685990339</v>
      </c>
      <c r="E32" s="10">
        <f t="shared" si="6"/>
        <v>7.0956521739130434</v>
      </c>
      <c r="F32" s="10">
        <f t="shared" si="6"/>
        <v>7.1618257261410792</v>
      </c>
      <c r="G32" s="10">
        <f t="shared" si="6"/>
        <v>7.3647540983606561</v>
      </c>
      <c r="H32" s="10">
        <f t="shared" si="6"/>
        <v>7.558943089430894</v>
      </c>
      <c r="I32" s="10">
        <f t="shared" si="6"/>
        <v>7.5242914979757085</v>
      </c>
      <c r="J32" s="11">
        <f>I32</f>
        <v>7.5242914979757085</v>
      </c>
    </row>
    <row r="33" spans="3:10" x14ac:dyDescent="0.25">
      <c r="C33" s="6">
        <f>C32+1</f>
        <v>2010</v>
      </c>
      <c r="D33" s="10">
        <f>D11/D22</f>
        <v>7.1788079470198678</v>
      </c>
      <c r="E33" s="10">
        <f>E11/E22</f>
        <v>7.5177865612648223</v>
      </c>
      <c r="F33" s="10">
        <f>F11/F22</f>
        <v>7.5532319391634983</v>
      </c>
      <c r="G33" s="10">
        <f>G11/G22</f>
        <v>7.8936567164179108</v>
      </c>
      <c r="H33" s="10">
        <f>H11/H22</f>
        <v>8.0129870129870131</v>
      </c>
      <c r="I33" s="10"/>
      <c r="J33" s="11">
        <f>H33/H44</f>
        <v>7.9762540003125348</v>
      </c>
    </row>
    <row r="34" spans="3:10" x14ac:dyDescent="0.25">
      <c r="C34" s="6">
        <f t="shared" ref="C34:C37" si="7">C33+1</f>
        <v>2011</v>
      </c>
      <c r="D34" s="10">
        <f>D12/D23</f>
        <v>7.5404858299595139</v>
      </c>
      <c r="E34" s="10">
        <f>E12/E23</f>
        <v>8.0364963503649633</v>
      </c>
      <c r="F34" s="10">
        <f>F12/F23</f>
        <v>8.354895104895105</v>
      </c>
      <c r="G34" s="10">
        <f>G12/G23</f>
        <v>8.4982817869415808</v>
      </c>
      <c r="H34" s="10"/>
      <c r="I34" s="10"/>
      <c r="J34" s="11">
        <f>G34/G45</f>
        <v>8.6345276284160182</v>
      </c>
    </row>
    <row r="35" spans="3:10" x14ac:dyDescent="0.25">
      <c r="C35" s="6">
        <f t="shared" si="7"/>
        <v>2012</v>
      </c>
      <c r="D35" s="10">
        <f>D13/D24</f>
        <v>8.530188679245283</v>
      </c>
      <c r="E35" s="10">
        <f>E13/E24</f>
        <v>9.2210884353741491</v>
      </c>
      <c r="F35" s="10">
        <f>F13/F24</f>
        <v>9.2292682926829261</v>
      </c>
      <c r="G35" s="10"/>
      <c r="H35" s="10"/>
      <c r="I35" s="10"/>
      <c r="J35" s="11">
        <f>F35/F46</f>
        <v>9.6594125975602214</v>
      </c>
    </row>
    <row r="36" spans="3:10" x14ac:dyDescent="0.25">
      <c r="C36" s="6">
        <f t="shared" si="7"/>
        <v>2013</v>
      </c>
      <c r="D36" s="10">
        <f>D14/D25</f>
        <v>9.85137614678899</v>
      </c>
      <c r="E36" s="10">
        <f>E14/E25</f>
        <v>10.15206611570248</v>
      </c>
      <c r="F36" s="10"/>
      <c r="G36" s="10"/>
      <c r="H36" s="10"/>
      <c r="I36" s="10"/>
      <c r="J36" s="11">
        <f>E36/E47</f>
        <v>10.768808783414629</v>
      </c>
    </row>
    <row r="37" spans="3:10" x14ac:dyDescent="0.25">
      <c r="C37" s="6">
        <f t="shared" si="7"/>
        <v>2014</v>
      </c>
      <c r="D37" s="10">
        <f>D15/D26</f>
        <v>10.44524236983842</v>
      </c>
      <c r="E37" s="10"/>
      <c r="F37" s="10"/>
      <c r="G37" s="10"/>
      <c r="H37" s="10"/>
      <c r="I37" s="10"/>
      <c r="J37" s="11">
        <f>D37/D48</f>
        <v>11.702838593982761</v>
      </c>
    </row>
    <row r="40" spans="3:10" x14ac:dyDescent="0.25">
      <c r="C40" t="s">
        <v>5</v>
      </c>
    </row>
    <row r="42" spans="3:10" x14ac:dyDescent="0.25">
      <c r="C42" s="6" t="s">
        <v>0</v>
      </c>
      <c r="D42" s="6">
        <v>0</v>
      </c>
      <c r="E42" s="6">
        <f>D42+1</f>
        <v>1</v>
      </c>
      <c r="F42" s="6">
        <f t="shared" ref="F42:I42" si="8">E42+1</f>
        <v>2</v>
      </c>
      <c r="G42" s="6">
        <f t="shared" si="8"/>
        <v>3</v>
      </c>
      <c r="H42" s="6">
        <f t="shared" si="8"/>
        <v>4</v>
      </c>
      <c r="I42" s="6">
        <f t="shared" si="8"/>
        <v>5</v>
      </c>
      <c r="J42" t="s">
        <v>1</v>
      </c>
    </row>
    <row r="43" spans="3:10" x14ac:dyDescent="0.25">
      <c r="C43" s="6">
        <v>2009</v>
      </c>
      <c r="D43" s="8">
        <f>D32/$J32</f>
        <v>0.89147655568682349</v>
      </c>
      <c r="E43" s="8">
        <f t="shared" ref="E43:I43" si="9">E32/$J32</f>
        <v>0.94303259992279886</v>
      </c>
      <c r="F43" s="8">
        <f t="shared" si="9"/>
        <v>0.95182725550543268</v>
      </c>
      <c r="G43" s="8">
        <f t="shared" si="9"/>
        <v>0.97879702033633686</v>
      </c>
      <c r="H43" s="8">
        <f t="shared" si="9"/>
        <v>1.004605296254738</v>
      </c>
      <c r="I43" s="8">
        <f t="shared" si="9"/>
        <v>1</v>
      </c>
    </row>
    <row r="44" spans="3:10" x14ac:dyDescent="0.25">
      <c r="C44" s="6">
        <f>C43+1</f>
        <v>2010</v>
      </c>
      <c r="D44" s="8">
        <f>D33/$J33</f>
        <v>0.900022485083672</v>
      </c>
      <c r="E44" s="8">
        <f t="shared" ref="E44:G44" si="10">E33/$J33</f>
        <v>0.94252095795473056</v>
      </c>
      <c r="F44" s="8">
        <f t="shared" si="10"/>
        <v>0.94696482068744792</v>
      </c>
      <c r="G44" s="8">
        <f t="shared" si="10"/>
        <v>0.98964460210377103</v>
      </c>
      <c r="H44" s="8">
        <f>H43</f>
        <v>1.004605296254738</v>
      </c>
      <c r="I44" s="8"/>
    </row>
    <row r="45" spans="3:10" x14ac:dyDescent="0.25">
      <c r="C45" s="6">
        <f t="shared" ref="C45:C48" si="11">C44+1</f>
        <v>2011</v>
      </c>
      <c r="D45" s="8">
        <f>D34/$J34</f>
        <v>0.87329453960445502</v>
      </c>
      <c r="E45" s="8">
        <f t="shared" ref="E45:F45" si="12">E34/$J34</f>
        <v>0.93073954896120215</v>
      </c>
      <c r="F45" s="8">
        <f t="shared" si="12"/>
        <v>0.96761461245422975</v>
      </c>
      <c r="G45" s="8">
        <f>AVERAGE(G43:G44)</f>
        <v>0.98422081122005389</v>
      </c>
      <c r="H45" s="8"/>
      <c r="I45" s="8"/>
    </row>
    <row r="46" spans="3:10" x14ac:dyDescent="0.25">
      <c r="C46" s="6">
        <f t="shared" si="11"/>
        <v>2012</v>
      </c>
      <c r="D46" s="8">
        <f>D35/$J35</f>
        <v>0.8830960053823399</v>
      </c>
      <c r="E46" s="8">
        <f>E35/$J35</f>
        <v>0.95462206860313803</v>
      </c>
      <c r="F46" s="8">
        <f>AVERAGE(F43:F45)</f>
        <v>0.95546889621570352</v>
      </c>
      <c r="G46" s="8"/>
      <c r="H46" s="8"/>
      <c r="I46" s="8"/>
    </row>
    <row r="47" spans="3:10" x14ac:dyDescent="0.25">
      <c r="C47" s="6">
        <f t="shared" si="11"/>
        <v>2013</v>
      </c>
      <c r="D47" s="8">
        <f>D36/J36</f>
        <v>0.914806488342647</v>
      </c>
      <c r="E47" s="8">
        <f>AVERAGE(E43:E46)</f>
        <v>0.94272879386046737</v>
      </c>
      <c r="F47" s="8"/>
      <c r="G47" s="8"/>
      <c r="H47" s="8"/>
      <c r="I47" s="8"/>
    </row>
    <row r="48" spans="3:10" x14ac:dyDescent="0.25">
      <c r="C48" s="6">
        <f t="shared" si="11"/>
        <v>2014</v>
      </c>
      <c r="D48" s="8">
        <f>AVERAGE(D43:D47)</f>
        <v>0.89253921481998744</v>
      </c>
      <c r="E48" s="8"/>
      <c r="F48" s="8"/>
      <c r="G48" s="8"/>
      <c r="H48" s="8"/>
      <c r="I48" s="8"/>
    </row>
    <row r="51" spans="3:10" x14ac:dyDescent="0.25">
      <c r="C51" t="s">
        <v>3</v>
      </c>
    </row>
    <row r="53" spans="3:10" x14ac:dyDescent="0.25">
      <c r="C53" s="6" t="s">
        <v>0</v>
      </c>
      <c r="D53" s="6">
        <v>0</v>
      </c>
      <c r="E53" s="6">
        <f>D53+1</f>
        <v>1</v>
      </c>
      <c r="F53" s="6">
        <f t="shared" ref="F53:I53" si="13">E53+1</f>
        <v>2</v>
      </c>
      <c r="G53" s="6">
        <f t="shared" si="13"/>
        <v>3</v>
      </c>
      <c r="H53" s="6">
        <f t="shared" si="13"/>
        <v>4</v>
      </c>
      <c r="I53" s="6">
        <f t="shared" si="13"/>
        <v>5</v>
      </c>
      <c r="J53" t="s">
        <v>1</v>
      </c>
    </row>
    <row r="54" spans="3:10" x14ac:dyDescent="0.25">
      <c r="C54" s="6">
        <v>2009</v>
      </c>
      <c r="D54" s="8">
        <f t="shared" ref="D54:I54" si="14">D21/$J54</f>
        <v>0.83805668016194335</v>
      </c>
      <c r="E54" s="8">
        <f t="shared" si="14"/>
        <v>0.93117408906882593</v>
      </c>
      <c r="F54" s="8">
        <f t="shared" si="14"/>
        <v>0.97570850202429149</v>
      </c>
      <c r="G54" s="8">
        <f t="shared" si="14"/>
        <v>0.98785425101214575</v>
      </c>
      <c r="H54" s="8">
        <f t="shared" si="14"/>
        <v>0.99595141700404854</v>
      </c>
      <c r="I54" s="8">
        <f t="shared" si="14"/>
        <v>1</v>
      </c>
      <c r="J54" s="2">
        <f>J21</f>
        <v>494</v>
      </c>
    </row>
    <row r="55" spans="3:10" x14ac:dyDescent="0.25">
      <c r="C55" s="6">
        <f>C54+1</f>
        <v>2010</v>
      </c>
      <c r="D55" s="8">
        <f>D22/$J55</f>
        <v>0.83704265659152866</v>
      </c>
      <c r="E55" s="8">
        <f>E22/$J55</f>
        <v>0.93497479963645369</v>
      </c>
      <c r="F55" s="8">
        <f>F22/$J55</f>
        <v>0.97193032531378387</v>
      </c>
      <c r="G55" s="8">
        <f>G22/$J55</f>
        <v>0.99040808815244896</v>
      </c>
      <c r="H55" s="8">
        <f>H54</f>
        <v>0.99595141700404854</v>
      </c>
      <c r="I55" s="8"/>
      <c r="J55" s="2">
        <f>H22/H55</f>
        <v>541.19105691056916</v>
      </c>
    </row>
    <row r="56" spans="3:10" x14ac:dyDescent="0.25">
      <c r="C56" s="6">
        <f t="shared" ref="C56:C59" si="15">C55+1</f>
        <v>2011</v>
      </c>
      <c r="D56" s="8">
        <f>D23/$J56</f>
        <v>0.83957181748050658</v>
      </c>
      <c r="E56" s="8">
        <f>E23/$J56</f>
        <v>0.93134687445205988</v>
      </c>
      <c r="F56" s="8">
        <f>F23/$J56</f>
        <v>0.97213578866163919</v>
      </c>
      <c r="G56" s="8">
        <f>AVERAGE(G54:G55)</f>
        <v>0.9891311695822973</v>
      </c>
      <c r="H56" s="8"/>
      <c r="I56" s="8"/>
      <c r="J56" s="2">
        <f>G23/G56</f>
        <v>588.39516729189143</v>
      </c>
    </row>
    <row r="57" spans="3:10" x14ac:dyDescent="0.25">
      <c r="C57" s="6">
        <f t="shared" si="15"/>
        <v>2012</v>
      </c>
      <c r="D57" s="8">
        <f>D24/$J57</f>
        <v>0.83874284362051432</v>
      </c>
      <c r="E57" s="8">
        <f>E24/$J57</f>
        <v>0.93052979631860833</v>
      </c>
      <c r="F57" s="8">
        <f>AVERAGE(F54:F56)</f>
        <v>0.97325820533323826</v>
      </c>
      <c r="G57" s="8"/>
      <c r="H57" s="8"/>
      <c r="I57" s="8"/>
      <c r="J57" s="2">
        <f>F24/F57</f>
        <v>631.89808894488317</v>
      </c>
    </row>
    <row r="58" spans="3:10" x14ac:dyDescent="0.25">
      <c r="C58" s="6">
        <f t="shared" si="15"/>
        <v>2013</v>
      </c>
      <c r="D58" s="8">
        <f>D25/$J58</f>
        <v>0.83957600409685595</v>
      </c>
      <c r="E58" s="8">
        <f>AVERAGE(E54:E57)</f>
        <v>0.93200638986898698</v>
      </c>
      <c r="F58" s="8"/>
      <c r="G58" s="8"/>
      <c r="H58" s="8"/>
      <c r="I58" s="8"/>
      <c r="J58" s="2">
        <f>E25/E58</f>
        <v>649.13718036315765</v>
      </c>
    </row>
    <row r="59" spans="3:10" x14ac:dyDescent="0.25">
      <c r="C59" s="6">
        <f t="shared" si="15"/>
        <v>2014</v>
      </c>
      <c r="D59" s="8">
        <f>AVERAGE(D54:D58)</f>
        <v>0.83859800039026988</v>
      </c>
      <c r="E59" s="8"/>
      <c r="F59" s="8"/>
      <c r="G59" s="8"/>
      <c r="H59" s="8"/>
      <c r="I59" s="8"/>
      <c r="J59" s="2">
        <f>D26/D59</f>
        <v>664.20382560032488</v>
      </c>
    </row>
    <row r="62" spans="3:10" x14ac:dyDescent="0.25">
      <c r="C62" t="s">
        <v>6</v>
      </c>
    </row>
    <row r="64" spans="3:10" x14ac:dyDescent="0.25">
      <c r="C64" s="5" t="s">
        <v>0</v>
      </c>
      <c r="D64" s="5"/>
    </row>
    <row r="65" spans="3:10" x14ac:dyDescent="0.25">
      <c r="C65" s="5">
        <v>2009</v>
      </c>
      <c r="D65" s="7">
        <f>J54*J32</f>
        <v>3717</v>
      </c>
      <c r="E65" s="1"/>
      <c r="F65" s="1"/>
      <c r="G65" s="1"/>
      <c r="H65" s="1"/>
      <c r="I65" s="1"/>
      <c r="J65" s="2"/>
    </row>
    <row r="66" spans="3:10" x14ac:dyDescent="0.25">
      <c r="C66" s="5">
        <f>C65+1</f>
        <v>2010</v>
      </c>
      <c r="D66" s="7">
        <f t="shared" ref="D66:D70" si="16">J55*J33</f>
        <v>4316.6773326162956</v>
      </c>
      <c r="E66" s="1"/>
      <c r="F66" s="1"/>
      <c r="G66" s="1"/>
      <c r="H66" s="1"/>
      <c r="I66" s="1"/>
      <c r="J66" s="2"/>
    </row>
    <row r="67" spans="3:10" x14ac:dyDescent="0.25">
      <c r="C67" s="5">
        <f t="shared" ref="C67:C70" si="17">C66+1</f>
        <v>2011</v>
      </c>
      <c r="D67" s="7">
        <f t="shared" si="16"/>
        <v>5080.5143284083015</v>
      </c>
      <c r="E67" s="1"/>
      <c r="F67" s="1"/>
      <c r="G67" s="1"/>
      <c r="H67" s="1"/>
      <c r="I67" s="1"/>
      <c r="J67" s="2"/>
    </row>
    <row r="68" spans="3:10" x14ac:dyDescent="0.25">
      <c r="C68" s="5">
        <f t="shared" si="17"/>
        <v>2012</v>
      </c>
      <c r="D68" s="7">
        <f t="shared" si="16"/>
        <v>6103.7643607284335</v>
      </c>
      <c r="E68" s="1"/>
      <c r="F68" s="1"/>
      <c r="G68" s="1"/>
      <c r="H68" s="1"/>
      <c r="I68" s="1"/>
      <c r="J68" s="2"/>
    </row>
    <row r="69" spans="3:10" x14ac:dyDescent="0.25">
      <c r="C69" s="5">
        <f t="shared" si="17"/>
        <v>2013</v>
      </c>
      <c r="D69" s="7">
        <f t="shared" si="16"/>
        <v>6990.4341695357789</v>
      </c>
      <c r="E69" s="1"/>
      <c r="F69" s="1"/>
      <c r="G69" s="1"/>
      <c r="H69" s="1"/>
      <c r="I69" s="1"/>
      <c r="J69" s="2"/>
    </row>
    <row r="70" spans="3:10" x14ac:dyDescent="0.25">
      <c r="C70" s="5">
        <f t="shared" si="17"/>
        <v>2014</v>
      </c>
      <c r="D70" s="7">
        <f t="shared" si="16"/>
        <v>7773.0701645064773</v>
      </c>
      <c r="E70" s="1"/>
      <c r="F70" s="1"/>
      <c r="G70" s="1"/>
      <c r="H70" s="1"/>
      <c r="I70" s="1"/>
      <c r="J7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Agarwal</dc:creator>
  <cp:lastModifiedBy>Harsh Agarwal</cp:lastModifiedBy>
  <cp:lastPrinted>2025-12-13T10:03:08Z</cp:lastPrinted>
  <dcterms:created xsi:type="dcterms:W3CDTF">2025-12-13T09:32:58Z</dcterms:created>
  <dcterms:modified xsi:type="dcterms:W3CDTF">2025-12-14T08:54:09Z</dcterms:modified>
</cp:coreProperties>
</file>