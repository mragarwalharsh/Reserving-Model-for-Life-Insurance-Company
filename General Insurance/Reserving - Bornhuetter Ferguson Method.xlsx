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Excel\Resume\General Insurance\Reserving - Bornhuetter Ferguson Method\"/>
    </mc:Choice>
  </mc:AlternateContent>
  <xr:revisionPtr revIDLastSave="0" documentId="8_{21796995-EC78-4371-BE28-26D8DB5C8ABD}" xr6:coauthVersionLast="47" xr6:coauthVersionMax="47" xr10:uidLastSave="{00000000-0000-0000-0000-000000000000}"/>
  <bookViews>
    <workbookView xWindow="-120" yWindow="-120" windowWidth="20730" windowHeight="11160" xr2:uid="{C8D6BF77-BDAF-4579-ACCD-97391AEE64AF}"/>
  </bookViews>
  <sheets>
    <sheet name="Input" sheetId="2" r:id="rId1"/>
    <sheet name="Processing" sheetId="1" r:id="rId2"/>
    <sheet name="Outpu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B4" i="3"/>
  <c r="B2" i="3"/>
  <c r="B9" i="2"/>
  <c r="B10" i="2" s="1"/>
  <c r="B11" i="2" s="1"/>
  <c r="B12" i="2" s="1"/>
  <c r="B8" i="2"/>
  <c r="F6" i="2"/>
  <c r="G6" i="2" s="1"/>
  <c r="H6" i="2" s="1"/>
  <c r="E6" i="2"/>
  <c r="D6" i="2"/>
  <c r="J11" i="1"/>
  <c r="O11" i="1" s="1"/>
  <c r="J12" i="1"/>
  <c r="O12" i="1" s="1"/>
  <c r="J13" i="1"/>
  <c r="O13" i="1" s="1"/>
  <c r="J14" i="1"/>
  <c r="O14" i="1" s="1"/>
  <c r="J15" i="1"/>
  <c r="O15" i="1" s="1"/>
  <c r="J10" i="1"/>
  <c r="O10" i="1" s="1"/>
  <c r="H17" i="1"/>
  <c r="H18" i="1" s="1"/>
  <c r="G17" i="1"/>
  <c r="F17" i="1"/>
  <c r="E17" i="1"/>
  <c r="D17" i="1"/>
  <c r="B11" i="1"/>
  <c r="B12" i="1" s="1"/>
  <c r="B13" i="1" s="1"/>
  <c r="B14" i="1" s="1"/>
  <c r="B15" i="1" s="1"/>
  <c r="M10" i="1"/>
  <c r="L10" i="1" s="1"/>
  <c r="M15" i="1" s="1"/>
  <c r="D9" i="1"/>
  <c r="E9" i="1" s="1"/>
  <c r="F9" i="1" s="1"/>
  <c r="G9" i="1" s="1"/>
  <c r="H9" i="1" s="1"/>
  <c r="C2" i="1" l="1"/>
  <c r="C2" i="3" s="1"/>
  <c r="C3" i="1"/>
  <c r="C3" i="3" s="1"/>
  <c r="M14" i="1"/>
  <c r="D18" i="1"/>
  <c r="N15" i="1" s="1"/>
  <c r="M13" i="1"/>
  <c r="E18" i="1"/>
  <c r="N14" i="1" s="1"/>
  <c r="F18" i="1"/>
  <c r="M11" i="1"/>
  <c r="N11" i="1" s="1"/>
  <c r="M12" i="1"/>
  <c r="G18" i="1"/>
  <c r="C4" i="1" l="1"/>
  <c r="C4" i="3" s="1"/>
  <c r="N12" i="1"/>
  <c r="N13" i="1"/>
</calcChain>
</file>

<file path=xl/sharedStrings.xml><?xml version="1.0" encoding="utf-8"?>
<sst xmlns="http://schemas.openxmlformats.org/spreadsheetml/2006/main" count="18" uniqueCount="15">
  <si>
    <t>Total Claims Incurred</t>
  </si>
  <si>
    <t>AY</t>
  </si>
  <si>
    <t>Ultimate</t>
  </si>
  <si>
    <t>Loss Ratio</t>
  </si>
  <si>
    <t>Expected premium</t>
  </si>
  <si>
    <t>Ratio</t>
  </si>
  <si>
    <t>Development Factor</t>
  </si>
  <si>
    <t>Emerging Liability</t>
  </si>
  <si>
    <t>Updated Ultimate Loss</t>
  </si>
  <si>
    <t>Reported Claims</t>
  </si>
  <si>
    <t>Total Ultimate Claims</t>
  </si>
  <si>
    <t>Total Reported Claims</t>
  </si>
  <si>
    <t>Reserve</t>
  </si>
  <si>
    <t>Password</t>
  </si>
  <si>
    <t>HarshAgarwal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</si>
</sst>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42" fontId="0" fillId="3" borderId="1" xfId="1" applyNumberFormat="1" applyFont="1" applyFill="1" applyBorder="1"/>
    <xf numFmtId="0" fontId="0" fillId="0" borderId="0" xfId="0" applyFill="1"/>
    <xf numFmtId="42" fontId="0" fillId="0" borderId="0" xfId="0" applyNumberFormat="1" applyFill="1"/>
    <xf numFmtId="42" fontId="0" fillId="0" borderId="0" xfId="1" applyNumberFormat="1" applyFont="1" applyFill="1"/>
    <xf numFmtId="0" fontId="2" fillId="0" borderId="1" xfId="0" applyFont="1" applyFill="1" applyBorder="1"/>
    <xf numFmtId="42" fontId="0" fillId="0" borderId="1" xfId="1" applyNumberFormat="1" applyFont="1" applyFill="1" applyBorder="1"/>
    <xf numFmtId="9" fontId="0" fillId="0" borderId="0" xfId="2" applyFont="1" applyFill="1"/>
    <xf numFmtId="164" fontId="0" fillId="0" borderId="0" xfId="0" applyNumberFormat="1"/>
    <xf numFmtId="164" fontId="0" fillId="2" borderId="0" xfId="0" applyNumberFormat="1" applyFill="1"/>
    <xf numFmtId="0" fontId="0" fillId="0" borderId="1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D1BB-AF7E-4189-8970-FE74E998432C}">
  <dimension ref="B4:I12"/>
  <sheetViews>
    <sheetView tabSelected="1" workbookViewId="0">
      <selection activeCell="K6" sqref="K6"/>
    </sheetView>
  </sheetViews>
  <sheetFormatPr defaultRowHeight="15" x14ac:dyDescent="0.25"/>
  <cols>
    <col min="9" max="9" width="18" bestFit="1" customWidth="1"/>
  </cols>
  <sheetData>
    <row r="4" spans="2:9" x14ac:dyDescent="0.25">
      <c r="B4" t="s">
        <v>0</v>
      </c>
    </row>
    <row r="6" spans="2:9" x14ac:dyDescent="0.25">
      <c r="B6" s="1" t="s">
        <v>1</v>
      </c>
      <c r="C6" s="1">
        <v>0</v>
      </c>
      <c r="D6" s="1">
        <f>C6+1</f>
        <v>1</v>
      </c>
      <c r="E6" s="1">
        <f t="shared" ref="E6:H6" si="0">D6+1</f>
        <v>2</v>
      </c>
      <c r="F6" s="1">
        <f t="shared" si="0"/>
        <v>3</v>
      </c>
      <c r="G6" s="1">
        <f t="shared" si="0"/>
        <v>4</v>
      </c>
      <c r="H6" s="1">
        <f t="shared" si="0"/>
        <v>5</v>
      </c>
      <c r="I6" s="11" t="s">
        <v>4</v>
      </c>
    </row>
    <row r="7" spans="2:9" x14ac:dyDescent="0.25">
      <c r="B7" s="1">
        <v>2009</v>
      </c>
      <c r="C7" s="2">
        <v>2866</v>
      </c>
      <c r="D7" s="2">
        <v>3334</v>
      </c>
      <c r="E7" s="2">
        <v>3503</v>
      </c>
      <c r="F7" s="2">
        <v>3624</v>
      </c>
      <c r="G7" s="2">
        <v>3719</v>
      </c>
      <c r="H7" s="2">
        <v>3717</v>
      </c>
      <c r="I7" s="2">
        <v>4486</v>
      </c>
    </row>
    <row r="8" spans="2:9" x14ac:dyDescent="0.25">
      <c r="B8" s="1">
        <f>B7+1</f>
        <v>2010</v>
      </c>
      <c r="C8" s="2">
        <v>3359</v>
      </c>
      <c r="D8" s="2">
        <v>3889</v>
      </c>
      <c r="E8" s="2">
        <v>4033</v>
      </c>
      <c r="F8" s="2">
        <v>4231</v>
      </c>
      <c r="G8" s="2">
        <v>4319</v>
      </c>
      <c r="H8" s="2"/>
      <c r="I8" s="2">
        <v>5024</v>
      </c>
    </row>
    <row r="9" spans="2:9" x14ac:dyDescent="0.25">
      <c r="B9" s="1">
        <f t="shared" ref="B9:B12" si="1">B8+1</f>
        <v>2011</v>
      </c>
      <c r="C9" s="2">
        <v>3848</v>
      </c>
      <c r="D9" s="2">
        <v>4503</v>
      </c>
      <c r="E9" s="2">
        <v>4779</v>
      </c>
      <c r="F9" s="2">
        <v>4946</v>
      </c>
      <c r="G9" s="2"/>
      <c r="H9" s="2"/>
      <c r="I9" s="2">
        <v>5680</v>
      </c>
    </row>
    <row r="10" spans="2:9" x14ac:dyDescent="0.25">
      <c r="B10" s="1">
        <f t="shared" si="1"/>
        <v>2012</v>
      </c>
      <c r="C10" s="2">
        <v>4673</v>
      </c>
      <c r="D10" s="2">
        <v>5422</v>
      </c>
      <c r="E10" s="2">
        <v>5676</v>
      </c>
      <c r="F10" s="2"/>
      <c r="G10" s="2"/>
      <c r="H10" s="2"/>
      <c r="I10" s="2">
        <v>6590</v>
      </c>
    </row>
    <row r="11" spans="2:9" x14ac:dyDescent="0.25">
      <c r="B11" s="1">
        <f t="shared" si="1"/>
        <v>2013</v>
      </c>
      <c r="C11" s="2">
        <v>5369</v>
      </c>
      <c r="D11" s="2">
        <v>6142</v>
      </c>
      <c r="E11" s="2"/>
      <c r="F11" s="2"/>
      <c r="G11" s="2"/>
      <c r="H11" s="2"/>
      <c r="I11" s="2">
        <v>7482</v>
      </c>
    </row>
    <row r="12" spans="2:9" x14ac:dyDescent="0.25">
      <c r="B12" s="1">
        <f t="shared" si="1"/>
        <v>2014</v>
      </c>
      <c r="C12" s="2">
        <v>5818</v>
      </c>
      <c r="D12" s="2"/>
      <c r="E12" s="2"/>
      <c r="F12" s="2"/>
      <c r="G12" s="2"/>
      <c r="H12" s="2"/>
      <c r="I12" s="2">
        <v>8502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D9FF-0B9E-4088-84E6-8337F2D9C006}">
  <dimension ref="B2:O18"/>
  <sheetViews>
    <sheetView workbookViewId="0">
      <selection activeCell="I19" sqref="I19"/>
    </sheetView>
  </sheetViews>
  <sheetFormatPr defaultRowHeight="15" x14ac:dyDescent="0.25"/>
  <cols>
    <col min="1" max="1" width="9.140625" style="3"/>
    <col min="2" max="2" width="19.28515625" style="3" bestFit="1" customWidth="1"/>
    <col min="3" max="3" width="11.5703125" style="3" bestFit="1" customWidth="1"/>
    <col min="4" max="8" width="9.140625" style="3"/>
    <col min="9" max="9" width="18" style="3" bestFit="1" customWidth="1"/>
    <col min="10" max="10" width="10.5703125" style="3" bestFit="1" customWidth="1"/>
    <col min="11" max="12" width="9.140625" style="3"/>
    <col min="13" max="13" width="18" style="3" bestFit="1" customWidth="1"/>
    <col min="14" max="15" width="10.5703125" style="3" bestFit="1" customWidth="1"/>
    <col min="16" max="16384" width="9.140625" style="3"/>
  </cols>
  <sheetData>
    <row r="2" spans="2:15" x14ac:dyDescent="0.25">
      <c r="B2" s="3" t="s">
        <v>10</v>
      </c>
      <c r="C2" s="4">
        <f ca="1">SUM(O10:O15)</f>
        <v>33275.510789041844</v>
      </c>
      <c r="E2" s="3" t="s">
        <v>13</v>
      </c>
      <c r="F2" s="3" t="s">
        <v>14</v>
      </c>
    </row>
    <row r="3" spans="2:15" x14ac:dyDescent="0.25">
      <c r="B3" s="3" t="s">
        <v>11</v>
      </c>
      <c r="C3" s="5">
        <f ca="1">SUM(J10:J15)</f>
        <v>30618</v>
      </c>
    </row>
    <row r="4" spans="2:15" x14ac:dyDescent="0.25">
      <c r="B4" s="3" t="s">
        <v>12</v>
      </c>
      <c r="C4" s="4">
        <f ca="1">C2-C3</f>
        <v>2657.510789041844</v>
      </c>
    </row>
    <row r="7" spans="2:15" x14ac:dyDescent="0.25">
      <c r="B7" s="3" t="s">
        <v>0</v>
      </c>
    </row>
    <row r="9" spans="2:15" x14ac:dyDescent="0.25">
      <c r="B9" s="6" t="s">
        <v>1</v>
      </c>
      <c r="C9" s="6">
        <v>0</v>
      </c>
      <c r="D9" s="6">
        <f>C9+1</f>
        <v>1</v>
      </c>
      <c r="E9" s="6">
        <f t="shared" ref="E9:H9" si="0">D9+1</f>
        <v>2</v>
      </c>
      <c r="F9" s="6">
        <f t="shared" si="0"/>
        <v>3</v>
      </c>
      <c r="G9" s="6">
        <f t="shared" si="0"/>
        <v>4</v>
      </c>
      <c r="H9" s="6">
        <f t="shared" si="0"/>
        <v>5</v>
      </c>
      <c r="I9" s="3" t="s">
        <v>4</v>
      </c>
      <c r="J9" s="3" t="s">
        <v>9</v>
      </c>
      <c r="L9" s="3" t="s">
        <v>3</v>
      </c>
      <c r="M9" s="3" t="s">
        <v>2</v>
      </c>
      <c r="N9" s="3" t="s">
        <v>7</v>
      </c>
      <c r="O9" s="3" t="s">
        <v>8</v>
      </c>
    </row>
    <row r="10" spans="2:15" x14ac:dyDescent="0.25">
      <c r="B10" s="6">
        <v>2009</v>
      </c>
      <c r="C10" s="7">
        <v>2866</v>
      </c>
      <c r="D10" s="7">
        <v>3334</v>
      </c>
      <c r="E10" s="7">
        <v>3503</v>
      </c>
      <c r="F10" s="7">
        <v>3624</v>
      </c>
      <c r="G10" s="7">
        <v>3719</v>
      </c>
      <c r="H10" s="7">
        <v>3717</v>
      </c>
      <c r="I10" s="5">
        <v>4486</v>
      </c>
      <c r="J10" s="5">
        <f ca="1">OFFSET(B10,0,COUNT(C10:H10),1,1)</f>
        <v>3717</v>
      </c>
      <c r="K10" s="5"/>
      <c r="L10" s="8">
        <f>M10/I10</f>
        <v>0.82857779759251005</v>
      </c>
      <c r="M10" s="5">
        <f>H10</f>
        <v>3717</v>
      </c>
      <c r="N10" s="4">
        <v>0</v>
      </c>
      <c r="O10" s="4">
        <f ca="1">N10+J10</f>
        <v>3717</v>
      </c>
    </row>
    <row r="11" spans="2:15" x14ac:dyDescent="0.25">
      <c r="B11" s="6">
        <f>B10+1</f>
        <v>2010</v>
      </c>
      <c r="C11" s="7">
        <v>3359</v>
      </c>
      <c r="D11" s="7">
        <v>3889</v>
      </c>
      <c r="E11" s="7">
        <v>4033</v>
      </c>
      <c r="F11" s="7">
        <v>4231</v>
      </c>
      <c r="G11" s="7">
        <v>4319</v>
      </c>
      <c r="H11" s="7"/>
      <c r="I11" s="5">
        <v>5024</v>
      </c>
      <c r="J11" s="5">
        <f t="shared" ref="J11:J15" ca="1" si="1">OFFSET(B11,0,COUNT(C11:H11),1,1)</f>
        <v>4319</v>
      </c>
      <c r="K11" s="5"/>
      <c r="L11" s="4"/>
      <c r="M11" s="5">
        <f>I11*$L$10</f>
        <v>4162.7748551047707</v>
      </c>
      <c r="N11" s="4">
        <f>M11*(($H$18-1)/$H$18)</f>
        <v>-2.2398573339276382</v>
      </c>
      <c r="O11" s="4">
        <f t="shared" ref="O11:O15" ca="1" si="2">N11+J11</f>
        <v>4316.7601426660722</v>
      </c>
    </row>
    <row r="12" spans="2:15" x14ac:dyDescent="0.25">
      <c r="B12" s="6">
        <f t="shared" ref="B12:B15" si="3">B11+1</f>
        <v>2011</v>
      </c>
      <c r="C12" s="7">
        <v>3848</v>
      </c>
      <c r="D12" s="7">
        <v>4503</v>
      </c>
      <c r="E12" s="7">
        <v>4779</v>
      </c>
      <c r="F12" s="7">
        <v>4946</v>
      </c>
      <c r="G12" s="7"/>
      <c r="H12" s="7"/>
      <c r="I12" s="5">
        <v>5680</v>
      </c>
      <c r="J12" s="5">
        <f t="shared" ca="1" si="1"/>
        <v>4946</v>
      </c>
      <c r="K12" s="5"/>
      <c r="L12" s="4"/>
      <c r="M12" s="5">
        <f t="shared" ref="M12:M15" si="4">I12*$L$10</f>
        <v>4706.3218903254574</v>
      </c>
      <c r="N12" s="4">
        <f>M12*(($G$18-1)/$G$18)</f>
        <v>104.67348973339705</v>
      </c>
      <c r="O12" s="4">
        <f t="shared" ca="1" si="2"/>
        <v>5050.6734897333972</v>
      </c>
    </row>
    <row r="13" spans="2:15" x14ac:dyDescent="0.25">
      <c r="B13" s="6">
        <f t="shared" si="3"/>
        <v>2012</v>
      </c>
      <c r="C13" s="7">
        <v>4673</v>
      </c>
      <c r="D13" s="7">
        <v>5422</v>
      </c>
      <c r="E13" s="7">
        <v>5676</v>
      </c>
      <c r="F13" s="7"/>
      <c r="G13" s="7"/>
      <c r="H13" s="7"/>
      <c r="I13" s="5">
        <v>6590</v>
      </c>
      <c r="J13" s="5">
        <f t="shared" ca="1" si="1"/>
        <v>5676</v>
      </c>
      <c r="K13" s="5"/>
      <c r="L13" s="4"/>
      <c r="M13" s="5">
        <f t="shared" si="4"/>
        <v>5460.3276861346412</v>
      </c>
      <c r="N13" s="4">
        <f>M13*(($F$18-1)/$F$18)</f>
        <v>324.13829084106879</v>
      </c>
      <c r="O13" s="4">
        <f t="shared" ca="1" si="2"/>
        <v>6000.1382908410687</v>
      </c>
    </row>
    <row r="14" spans="2:15" x14ac:dyDescent="0.25">
      <c r="B14" s="6">
        <f t="shared" si="3"/>
        <v>2013</v>
      </c>
      <c r="C14" s="7">
        <v>5369</v>
      </c>
      <c r="D14" s="7">
        <v>6142</v>
      </c>
      <c r="E14" s="7"/>
      <c r="F14" s="7"/>
      <c r="G14" s="7"/>
      <c r="H14" s="7"/>
      <c r="I14" s="5">
        <v>7482</v>
      </c>
      <c r="J14" s="5">
        <f t="shared" ca="1" si="1"/>
        <v>6142</v>
      </c>
      <c r="K14" s="5"/>
      <c r="L14" s="4"/>
      <c r="M14" s="5">
        <f t="shared" si="4"/>
        <v>6199.4190815871598</v>
      </c>
      <c r="N14" s="4">
        <f>M14*(($E$18-1)/$E$18)</f>
        <v>641.25337451175949</v>
      </c>
      <c r="O14" s="4">
        <f t="shared" ca="1" si="2"/>
        <v>6783.2533745117598</v>
      </c>
    </row>
    <row r="15" spans="2:15" x14ac:dyDescent="0.25">
      <c r="B15" s="6">
        <f t="shared" si="3"/>
        <v>2014</v>
      </c>
      <c r="C15" s="7">
        <v>5818</v>
      </c>
      <c r="D15" s="7"/>
      <c r="E15" s="7"/>
      <c r="F15" s="7"/>
      <c r="G15" s="7"/>
      <c r="H15" s="7"/>
      <c r="I15" s="5">
        <v>8502</v>
      </c>
      <c r="J15" s="5">
        <f t="shared" ca="1" si="1"/>
        <v>5818</v>
      </c>
      <c r="K15" s="5"/>
      <c r="L15" s="4"/>
      <c r="M15" s="5">
        <f t="shared" si="4"/>
        <v>7044.5684351315203</v>
      </c>
      <c r="N15" s="4">
        <f>M15*(($D$18-1)/$D$18)</f>
        <v>1589.6854912895435</v>
      </c>
      <c r="O15" s="4">
        <f t="shared" ca="1" si="2"/>
        <v>7407.6854912895433</v>
      </c>
    </row>
    <row r="17" spans="2:8" x14ac:dyDescent="0.25">
      <c r="B17" s="3" t="s">
        <v>5</v>
      </c>
      <c r="D17" s="3">
        <f>SUM(D10:D14)/SUM(C10:C14)</f>
        <v>1.1578424061645538</v>
      </c>
      <c r="E17" s="3">
        <f>SUM(E10:E13)/SUM(D10:D13)</f>
        <v>1.0491602519244227</v>
      </c>
      <c r="F17" s="3">
        <f>SUM(F10:F12)/SUM(E10:E12)</f>
        <v>1.0394640682095007</v>
      </c>
      <c r="G17" s="3">
        <f>SUM(G10:G11)/SUM(F10:F11)</f>
        <v>1.0232972628898791</v>
      </c>
      <c r="H17" s="3">
        <f>SUM(H10)/SUM(G10)</f>
        <v>0.99946222102715787</v>
      </c>
    </row>
    <row r="18" spans="2:8" x14ac:dyDescent="0.25">
      <c r="B18" s="3" t="s">
        <v>6</v>
      </c>
      <c r="D18" s="3">
        <f>PRODUCT(D17:$H$17)</f>
        <v>1.2914243087625081</v>
      </c>
      <c r="E18" s="3">
        <f>PRODUCT(E17:$H$17)</f>
        <v>1.1153714027805002</v>
      </c>
      <c r="F18" s="3">
        <f>PRODUCT(F17:$H$17)</f>
        <v>1.0631087107375918</v>
      </c>
      <c r="G18" s="3">
        <f>PRODUCT(G17:$H$17)</f>
        <v>1.0227469551389301</v>
      </c>
      <c r="H18" s="3">
        <f>PRODUCT(H17:$H$17)</f>
        <v>0.99946222102715787</v>
      </c>
    </row>
  </sheetData>
  <sheetProtection algorithmName="SHA-512" hashValue="g2gMPkS4i506oH2KrePv9NeQe1ZXcSl9Xf1NP1gsa7LNOPf1tcbzjGVTlbGcQQxcokgWOSNLj1s2vwuNZL5rOA==" saltValue="9nB1sbg7J0HQBfYVIASR5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2AC6-5BB6-4E0F-B683-76A23B7BCE53}">
  <dimension ref="B2:C4"/>
  <sheetViews>
    <sheetView workbookViewId="0">
      <selection activeCell="H5" sqref="H5"/>
    </sheetView>
  </sheetViews>
  <sheetFormatPr defaultRowHeight="15" x14ac:dyDescent="0.25"/>
  <cols>
    <col min="2" max="2" width="20.140625" bestFit="1" customWidth="1"/>
  </cols>
  <sheetData>
    <row r="2" spans="2:3" x14ac:dyDescent="0.25">
      <c r="B2" t="str">
        <f>Processing!B2:C4</f>
        <v>Total Ultimate Claims</v>
      </c>
      <c r="C2" s="9">
        <f ca="1">Processing!C2:D4</f>
        <v>33275.510789041844</v>
      </c>
    </row>
    <row r="3" spans="2:3" x14ac:dyDescent="0.25">
      <c r="B3" t="str">
        <f>Processing!B3:C5</f>
        <v>Total Reported Claims</v>
      </c>
      <c r="C3" s="9">
        <f ca="1">Processing!C3:D5</f>
        <v>30618</v>
      </c>
    </row>
    <row r="4" spans="2:3" x14ac:dyDescent="0.25">
      <c r="B4" t="str">
        <f>Processing!B4:C6</f>
        <v>Reserve</v>
      </c>
      <c r="C4" s="10">
        <f ca="1">Processing!C4:D6</f>
        <v>2657.510789041844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Processing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Agarwal</dc:creator>
  <cp:lastModifiedBy>Harsh Agarwal</cp:lastModifiedBy>
  <dcterms:created xsi:type="dcterms:W3CDTF">2025-12-14T09:39:09Z</dcterms:created>
  <dcterms:modified xsi:type="dcterms:W3CDTF">2025-12-14T09:57:43Z</dcterms:modified>
</cp:coreProperties>
</file>