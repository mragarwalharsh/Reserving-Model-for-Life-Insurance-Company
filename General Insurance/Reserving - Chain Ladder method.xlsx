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Excel\Resume\Chain Ladder IBNR reserve Calculation\"/>
    </mc:Choice>
  </mc:AlternateContent>
  <xr:revisionPtr revIDLastSave="0" documentId="13_ncr:1_{088DDA16-47A8-44A0-A738-86E79463A58C}" xr6:coauthVersionLast="47" xr6:coauthVersionMax="47" xr10:uidLastSave="{00000000-0000-0000-0000-000000000000}"/>
  <bookViews>
    <workbookView xWindow="-120" yWindow="-120" windowWidth="20730" windowHeight="11160" activeTab="3" xr2:uid="{5DB727D6-264F-43D1-9976-88015573482A}"/>
  </bookViews>
  <sheets>
    <sheet name="Input" sheetId="3" r:id="rId1"/>
    <sheet name="Processing" sheetId="5" r:id="rId2"/>
    <sheet name="Output" sheetId="4" r:id="rId3"/>
    <sheet name="CL_Expected Method" sheetId="2" r:id="rId4"/>
    <sheet name="CL_Basic Method" sheetId="1" r:id="rId5"/>
  </sheets>
  <definedNames>
    <definedName name="ExternalData_1" localSheetId="1" hidden="1">Processing!$B$8:$D$107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" i="2" l="1"/>
  <c r="E5" i="4"/>
  <c r="J20" i="2"/>
  <c r="I20" i="2"/>
  <c r="D12" i="1"/>
  <c r="C25" i="1" s="1"/>
  <c r="C12" i="1"/>
  <c r="C13" i="1"/>
  <c r="D13" i="1" s="1"/>
  <c r="C14" i="1"/>
  <c r="D14" i="1" s="1"/>
  <c r="C15" i="1"/>
  <c r="D15" i="1" s="1"/>
  <c r="E15" i="1" s="1"/>
  <c r="C16" i="1"/>
  <c r="D16" i="1" s="1"/>
  <c r="C17" i="1"/>
  <c r="C30" i="1" s="1"/>
  <c r="C11" i="1"/>
  <c r="D11" i="1" s="1"/>
  <c r="E11" i="1" s="1"/>
  <c r="F11" i="1" s="1"/>
  <c r="G11" i="1" s="1"/>
  <c r="H11" i="1" s="1"/>
  <c r="I11" i="1" s="1"/>
  <c r="G50" i="2"/>
  <c r="J45" i="2"/>
  <c r="G49" i="2" s="1"/>
  <c r="L16" i="2"/>
  <c r="L17" i="2"/>
  <c r="L18" i="2"/>
  <c r="L19" i="2"/>
  <c r="L20" i="2"/>
  <c r="L15" i="2"/>
  <c r="D44" i="2"/>
  <c r="C45" i="2"/>
  <c r="C46" i="2"/>
  <c r="C47" i="2"/>
  <c r="C48" i="2"/>
  <c r="C49" i="2"/>
  <c r="B50" i="2"/>
  <c r="B49" i="2"/>
  <c r="B48" i="2"/>
  <c r="B47" i="2"/>
  <c r="B46" i="2"/>
  <c r="B45" i="2"/>
  <c r="B44" i="2"/>
  <c r="H40" i="2"/>
  <c r="G40" i="2"/>
  <c r="F40" i="2"/>
  <c r="E40" i="2"/>
  <c r="D40" i="2"/>
  <c r="C40" i="2"/>
  <c r="G33" i="2"/>
  <c r="F33" i="2"/>
  <c r="E33" i="2"/>
  <c r="D33" i="2"/>
  <c r="C33" i="2"/>
  <c r="I32" i="2"/>
  <c r="H32" i="2"/>
  <c r="G32" i="2"/>
  <c r="F32" i="2"/>
  <c r="E32" i="2"/>
  <c r="D32" i="2"/>
  <c r="C32" i="2"/>
  <c r="I31" i="2"/>
  <c r="H31" i="2"/>
  <c r="G31" i="2"/>
  <c r="F31" i="2"/>
  <c r="E31" i="2"/>
  <c r="D31" i="2"/>
  <c r="C31" i="2"/>
  <c r="I30" i="2"/>
  <c r="H30" i="2"/>
  <c r="G30" i="2"/>
  <c r="F30" i="2"/>
  <c r="E30" i="2"/>
  <c r="D30" i="2"/>
  <c r="C30" i="2"/>
  <c r="I29" i="2"/>
  <c r="H29" i="2"/>
  <c r="G29" i="2"/>
  <c r="F29" i="2"/>
  <c r="E29" i="2"/>
  <c r="D29" i="2"/>
  <c r="C29" i="2"/>
  <c r="I28" i="2"/>
  <c r="H28" i="2"/>
  <c r="G28" i="2"/>
  <c r="F28" i="2"/>
  <c r="E28" i="2"/>
  <c r="D28" i="2"/>
  <c r="C28" i="2"/>
  <c r="I26" i="2"/>
  <c r="H26" i="2"/>
  <c r="G26" i="2"/>
  <c r="F26" i="2"/>
  <c r="E26" i="2"/>
  <c r="D26" i="2"/>
  <c r="C26" i="2"/>
  <c r="C14" i="2"/>
  <c r="D14" i="2" s="1"/>
  <c r="B47" i="1"/>
  <c r="B42" i="1"/>
  <c r="B43" i="1"/>
  <c r="B44" i="1"/>
  <c r="B45" i="1"/>
  <c r="B46" i="1"/>
  <c r="B41" i="1"/>
  <c r="D37" i="1"/>
  <c r="E37" i="1"/>
  <c r="F37" i="1"/>
  <c r="G37" i="1"/>
  <c r="H37" i="1"/>
  <c r="C37" i="1"/>
  <c r="D30" i="1"/>
  <c r="E30" i="1"/>
  <c r="F30" i="1"/>
  <c r="G30" i="1"/>
  <c r="I23" i="1"/>
  <c r="D23" i="1"/>
  <c r="E23" i="1"/>
  <c r="F23" i="1"/>
  <c r="G23" i="1"/>
  <c r="H23" i="1"/>
  <c r="C23" i="1"/>
  <c r="C29" i="1" l="1"/>
  <c r="D29" i="1"/>
  <c r="E13" i="1"/>
  <c r="F13" i="1" s="1"/>
  <c r="G13" i="1" s="1"/>
  <c r="C26" i="1"/>
  <c r="C27" i="1"/>
  <c r="E14" i="1"/>
  <c r="F14" i="1" s="1"/>
  <c r="F27" i="1" s="1"/>
  <c r="E12" i="1"/>
  <c r="F12" i="1" s="1"/>
  <c r="G12" i="1" s="1"/>
  <c r="H12" i="1" s="1"/>
  <c r="E29" i="1"/>
  <c r="E28" i="1"/>
  <c r="D28" i="1"/>
  <c r="C28" i="1"/>
  <c r="C33" i="1"/>
  <c r="C36" i="1" s="1"/>
  <c r="C36" i="2"/>
  <c r="C39" i="2" s="1"/>
  <c r="E36" i="2"/>
  <c r="E39" i="2" s="1"/>
  <c r="D36" i="2"/>
  <c r="D39" i="2" s="1"/>
  <c r="C27" i="2"/>
  <c r="C37" i="2"/>
  <c r="E14" i="2"/>
  <c r="C34" i="1"/>
  <c r="C24" i="1"/>
  <c r="E27" i="1" l="1"/>
  <c r="D27" i="1"/>
  <c r="D25" i="1"/>
  <c r="E25" i="1"/>
  <c r="E26" i="1"/>
  <c r="D26" i="1"/>
  <c r="D33" i="1"/>
  <c r="D36" i="1" s="1"/>
  <c r="F28" i="1"/>
  <c r="F29" i="1"/>
  <c r="F25" i="1"/>
  <c r="G27" i="1"/>
  <c r="F26" i="1"/>
  <c r="D34" i="1"/>
  <c r="E24" i="1"/>
  <c r="D24" i="1"/>
  <c r="E34" i="1"/>
  <c r="F24" i="1"/>
  <c r="D37" i="2"/>
  <c r="F14" i="2"/>
  <c r="D27" i="2"/>
  <c r="E33" i="1" l="1"/>
  <c r="E36" i="1" s="1"/>
  <c r="H27" i="1"/>
  <c r="I27" i="1"/>
  <c r="G29" i="1"/>
  <c r="G25" i="1"/>
  <c r="G28" i="1"/>
  <c r="F33" i="1"/>
  <c r="F36" i="1" s="1"/>
  <c r="G26" i="1"/>
  <c r="G24" i="1"/>
  <c r="G33" i="1" s="1"/>
  <c r="G36" i="1" s="1"/>
  <c r="F34" i="1"/>
  <c r="G14" i="2"/>
  <c r="E27" i="2"/>
  <c r="E37" i="2"/>
  <c r="H29" i="1" l="1"/>
  <c r="I29" i="1"/>
  <c r="H26" i="1"/>
  <c r="I26" i="1"/>
  <c r="I28" i="1"/>
  <c r="H28" i="1"/>
  <c r="H25" i="1"/>
  <c r="I25" i="1"/>
  <c r="G34" i="1"/>
  <c r="C41" i="1"/>
  <c r="H24" i="1"/>
  <c r="H33" i="1" s="1"/>
  <c r="H36" i="1" s="1"/>
  <c r="H38" i="1" s="1"/>
  <c r="I24" i="1"/>
  <c r="F27" i="2"/>
  <c r="F36" i="2" s="1"/>
  <c r="F39" i="2" s="1"/>
  <c r="F37" i="2"/>
  <c r="H14" i="2"/>
  <c r="H34" i="1"/>
  <c r="G38" i="1" l="1"/>
  <c r="C42" i="1"/>
  <c r="G37" i="2"/>
  <c r="I14" i="2"/>
  <c r="C44" i="2" s="1"/>
  <c r="E44" i="2" s="1"/>
  <c r="F44" i="2" s="1"/>
  <c r="G27" i="2"/>
  <c r="G36" i="2" s="1"/>
  <c r="G39" i="2" s="1"/>
  <c r="C43" i="1" l="1"/>
  <c r="F38" i="1"/>
  <c r="H37" i="2"/>
  <c r="I27" i="2"/>
  <c r="H27" i="2"/>
  <c r="H36" i="2" s="1"/>
  <c r="H39" i="2" s="1"/>
  <c r="H41" i="2" s="1"/>
  <c r="D45" i="2" s="1"/>
  <c r="E45" i="2" s="1"/>
  <c r="F45" i="2" s="1"/>
  <c r="C44" i="1" l="1"/>
  <c r="E38" i="1"/>
  <c r="G41" i="2"/>
  <c r="D46" i="2" s="1"/>
  <c r="E46" i="2" s="1"/>
  <c r="F46" i="2" s="1"/>
  <c r="D38" i="1" l="1"/>
  <c r="C45" i="1"/>
  <c r="F41" i="2"/>
  <c r="D47" i="2" s="1"/>
  <c r="E47" i="2" s="1"/>
  <c r="F47" i="2" s="1"/>
  <c r="C38" i="1" l="1"/>
  <c r="C47" i="1" s="1"/>
  <c r="I17" i="1" s="1"/>
  <c r="C46" i="1"/>
  <c r="E41" i="2"/>
  <c r="D48" i="2" s="1"/>
  <c r="E48" i="2" s="1"/>
  <c r="F48" i="2" s="1"/>
  <c r="J17" i="1" l="1"/>
  <c r="B5" i="4" s="1"/>
  <c r="H30" i="1"/>
  <c r="D41" i="2"/>
  <c r="D49" i="2" s="1"/>
  <c r="E49" i="2" s="1"/>
  <c r="C41" i="2" l="1"/>
  <c r="D50" i="2" s="1"/>
  <c r="E50" i="2" s="1"/>
  <c r="H3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81859F-5154-4581-AD12-AFC23448443A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7132D026-D848-4CCE-B6CC-BF1CB337256A}" keepAlive="1" name="Query - Year 2014" description="Connection to the 'Year 2014' query in the workbook." type="5" refreshedVersion="0" background="1">
    <dbPr connection="Provider=Microsoft.Mashup.OleDb.1;Data Source=$Workbook$;Location=&quot;Year 2014&quot;;Extended Properties=&quot;&quot;" command="SELECT * FROM [Year 2014]"/>
  </connection>
  <connection id="3" xr16:uid="{998B37E1-C466-4ED7-AD4F-E3B648FC70FE}" keepAlive="1" name="Query - Year 2015" description="Connection to the 'Year 2015' query in the workbook." type="5" refreshedVersion="0" background="1">
    <dbPr connection="Provider=Microsoft.Mashup.OleDb.1;Data Source=$Workbook$;Location=&quot;Year 2015&quot;;Extended Properties=&quot;&quot;" command="SELECT * FROM [Year 2015]"/>
  </connection>
  <connection id="4" xr16:uid="{5CA072B5-6D0D-49D5-A25F-64043F0900C3}" keepAlive="1" name="Query - Year 2016" description="Connection to the 'Year 2016' query in the workbook." type="5" refreshedVersion="0" background="1">
    <dbPr connection="Provider=Microsoft.Mashup.OleDb.1;Data Source=$Workbook$;Location=&quot;Year 2016&quot;;Extended Properties=&quot;&quot;" command="SELECT * FROM [Year 2016]"/>
  </connection>
  <connection id="5" xr16:uid="{8DBEE1AA-B10A-43C7-BDE6-84C1247FFAFA}" keepAlive="1" name="Query - Year 2017" description="Connection to the 'Year 2017' query in the workbook." type="5" refreshedVersion="0" background="1">
    <dbPr connection="Provider=Microsoft.Mashup.OleDb.1;Data Source=$Workbook$;Location=&quot;Year 2017&quot;;Extended Properties=&quot;&quot;" command="SELECT * FROM [Year 2017]"/>
  </connection>
  <connection id="6" xr16:uid="{927042C0-470E-4503-8DCE-5298F206A7B4}" keepAlive="1" name="Query - Year 2018" description="Connection to the 'Year 2018' query in the workbook." type="5" refreshedVersion="0" background="1">
    <dbPr connection="Provider=Microsoft.Mashup.OleDb.1;Data Source=$Workbook$;Location=&quot;Year 2018&quot;;Extended Properties=&quot;&quot;" command="SELECT * FROM [Year 2018]"/>
  </connection>
  <connection id="7" xr16:uid="{DC7DAFC3-186B-4CC6-BAFA-99A618270A4D}" keepAlive="1" name="Query - Year 2019" description="Connection to the 'Year 2019' query in the workbook." type="5" refreshedVersion="0" background="1">
    <dbPr connection="Provider=Microsoft.Mashup.OleDb.1;Data Source=$Workbook$;Location=&quot;Year 2019&quot;;Extended Properties=&quot;&quot;" command="SELECT * FROM [Year 2019]"/>
  </connection>
  <connection id="8" xr16:uid="{9DCF5A92-3877-4DED-9CDC-40097B0AA787}" keepAlive="1" name="Query - Year 2020" description="Connection to the 'Year 2020' query in the workbook." type="5" refreshedVersion="0" background="1">
    <dbPr connection="Provider=Microsoft.Mashup.OleDb.1;Data Source=$Workbook$;Location=&quot;Year 2020&quot;;Extended Properties=&quot;&quot;" command="SELECT * FROM [Year 2020]"/>
  </connection>
</connections>
</file>

<file path=xl/sharedStrings.xml><?xml version="1.0" encoding="utf-8"?>
<sst xmlns="http://schemas.openxmlformats.org/spreadsheetml/2006/main" count="212" uniqueCount="43">
  <si>
    <t xml:space="preserve">Accident Year </t>
  </si>
  <si>
    <t xml:space="preserve"> </t>
  </si>
  <si>
    <t>CUMULATIVE REPORTED CLAIMS (000s)</t>
  </si>
  <si>
    <t>Age to Age Factors</t>
  </si>
  <si>
    <t>3-Yr Simple</t>
  </si>
  <si>
    <t>3-Yr Wtd</t>
  </si>
  <si>
    <t>LOB</t>
  </si>
  <si>
    <t>Age</t>
  </si>
  <si>
    <t>Accident Year</t>
  </si>
  <si>
    <t>Claim Size (000s)</t>
  </si>
  <si>
    <t>H3</t>
  </si>
  <si>
    <t>Selected LDF</t>
  </si>
  <si>
    <t>CDF</t>
  </si>
  <si>
    <t>AY</t>
  </si>
  <si>
    <t>Ult losses</t>
  </si>
  <si>
    <t>IBNR</t>
  </si>
  <si>
    <t>CY OLEP</t>
  </si>
  <si>
    <t>Reported
Claims</t>
  </si>
  <si>
    <t>Rept Dev
Ult Claims</t>
  </si>
  <si>
    <t>Trended Ult
Loss Ratio</t>
  </si>
  <si>
    <t>Expected 
Ult Claims</t>
  </si>
  <si>
    <t>Loss Trend</t>
  </si>
  <si>
    <t>Prem Trend</t>
  </si>
  <si>
    <t>ELR(2020 Level)</t>
  </si>
  <si>
    <t>ELR(2019 Level)</t>
  </si>
  <si>
    <t>Here, we are using a Basic Chain Ladder approach, assuming that Earned Premium has no significant Jumps, i.e, Premiums are smooth</t>
  </si>
  <si>
    <t>Here, we are using a Expected Chain Ladder approach, because we can see that the Earned Premium in 2019 (Cell K19) has shown significantly higher growth that other Accident Years</t>
  </si>
  <si>
    <t xml:space="preserve">Also, we can see that the CFD of 12 Months Claim age(Cell C41) and 24 Month Claim age (Cell D41) is significantly higher than that of 36 Month Claim age (Cell E41) </t>
  </si>
  <si>
    <t xml:space="preserve">This means that a great proportion of total development is happening in the first 24 Months </t>
  </si>
  <si>
    <t>Due to these reasons, we cannot rely on the Ultimate Claim Amount found out using Basic Chain Ladder Method for 2020 and 2019</t>
  </si>
  <si>
    <t>And Hence for these years, we will Use, Expected Chain Ladder Method</t>
  </si>
  <si>
    <t>Year 2014</t>
  </si>
  <si>
    <t>Year 2015</t>
  </si>
  <si>
    <t>Year 2016</t>
  </si>
  <si>
    <t>Year 2017</t>
  </si>
  <si>
    <t>Year 2018</t>
  </si>
  <si>
    <t>Year 2019</t>
  </si>
  <si>
    <t>Year 2020</t>
  </si>
  <si>
    <t>For Basic Chain Ladder Method</t>
  </si>
  <si>
    <t>Basic Chain Ladder Method</t>
  </si>
  <si>
    <t>Expected Chain Ladder Method</t>
  </si>
  <si>
    <t>Year</t>
  </si>
  <si>
    <t>Here we are creating different Queries for Different Years and then appending these all in a Single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</si>
</sst>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0" fillId="0" borderId="14" xfId="0" applyBorder="1"/>
    <xf numFmtId="0" fontId="0" fillId="0" borderId="12" xfId="0" applyBorder="1"/>
    <xf numFmtId="0" fontId="0" fillId="0" borderId="13" xfId="0" applyBorder="1"/>
    <xf numFmtId="1" fontId="0" fillId="0" borderId="13" xfId="0" applyNumberFormat="1" applyBorder="1"/>
    <xf numFmtId="1" fontId="3" fillId="0" borderId="8" xfId="0" applyNumberFormat="1" applyFont="1" applyBorder="1"/>
    <xf numFmtId="0" fontId="0" fillId="0" borderId="15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" fillId="0" borderId="9" xfId="0" applyFont="1" applyBorder="1" applyAlignment="1">
      <alignment horizontal="centerContinuous" vertical="center"/>
    </xf>
    <xf numFmtId="0" fontId="1" fillId="0" borderId="10" xfId="0" applyFont="1" applyBorder="1" applyAlignment="1">
      <alignment horizontal="centerContinuous" vertical="center"/>
    </xf>
    <xf numFmtId="0" fontId="1" fillId="0" borderId="11" xfId="0" applyFont="1" applyBorder="1" applyAlignment="1">
      <alignment horizontal="centerContinuous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top"/>
    </xf>
    <xf numFmtId="1" fontId="0" fillId="2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1" fontId="0" fillId="0" borderId="6" xfId="0" applyNumberFormat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1" fontId="0" fillId="2" borderId="0" xfId="0" applyNumberFormat="1" applyFill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55C744-EE82-458F-94C3-1B49BACC72A0}" autoFormatId="16" applyNumberFormats="0" applyBorderFormats="0" applyFontFormats="0" applyPatternFormats="0" applyAlignmentFormats="0" applyWidthHeightFormats="0">
  <queryTableRefresh nextId="4">
    <queryTableFields count="3">
      <queryTableField id="1" name="Age" tableColumnId="1"/>
      <queryTableField id="2" name="Accident Year" tableColumnId="2"/>
      <queryTableField id="3" name="Claim Size (000s)" tableColumnId="3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7EC13-F6C4-472B-810E-46F7FD55967D}" name="Table1" displayName="Table1" ref="B5:E24" totalsRowShown="0" headerRowDxfId="11" dataDxfId="10">
  <autoFilter ref="B5:E24" xr:uid="{1887EC13-F6C4-472B-810E-46F7FD55967D}"/>
  <tableColumns count="4">
    <tableColumn id="1" xr3:uid="{3DE18AC1-3B97-426A-B7B3-06779576603B}" name="LOB" dataDxfId="9"/>
    <tableColumn id="2" xr3:uid="{AEC533D2-3D4A-47A4-A455-494A72E9820A}" name="Age" dataDxfId="8"/>
    <tableColumn id="3" xr3:uid="{382F2808-64E1-42E3-8C16-33E145BAD0B6}" name="Accident Year" dataDxfId="7"/>
    <tableColumn id="4" xr3:uid="{E5C70A3C-ABC6-4BE0-9A19-CE1CCDBF41D5}" name="Claim Size (000s)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A36732-0F7E-4FED-8FAA-3D4CDA727F90}" name="Table2" displayName="Table2" ref="G5:J24" totalsRowShown="0" headerRowDxfId="5">
  <autoFilter ref="G5:J24" xr:uid="{B6A36732-0F7E-4FED-8FAA-3D4CDA727F90}"/>
  <tableColumns count="4">
    <tableColumn id="1" xr3:uid="{F6CB6D81-2D12-4F77-8B5B-59B901460C31}" name="LOB"/>
    <tableColumn id="2" xr3:uid="{2A1FBA9A-A91C-4747-AF3B-C44BD87D22E8}" name="Age"/>
    <tableColumn id="3" xr3:uid="{7D4CB9AB-1144-4691-9BC1-8D0031BA8A26}" name="Accident Year"/>
    <tableColumn id="4" xr3:uid="{56C63795-3BB3-42C9-8A50-2850A3F3E5BD}" name="Claim Size (000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C498E9-C646-446E-BAD3-9C2B76CF78E8}" name="Table3" displayName="Table3" ref="L5:O23" totalsRowShown="0" headerRowDxfId="4">
  <autoFilter ref="L5:O23" xr:uid="{CAC498E9-C646-446E-BAD3-9C2B76CF78E8}"/>
  <tableColumns count="4">
    <tableColumn id="1" xr3:uid="{7FB7CE4A-D3D1-49E5-8835-1BD8CDE481F2}" name="LOB"/>
    <tableColumn id="2" xr3:uid="{A9ADFEEA-5048-493C-B5F8-DDCE04E0C0FD}" name="Age"/>
    <tableColumn id="3" xr3:uid="{B13E49B0-95FE-4B00-B569-6DB689944933}" name="Accident Year"/>
    <tableColumn id="4" xr3:uid="{923D236A-C0AC-4A28-BF59-AC6E82AA8024}" name="Claim Size (000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5EF084-C9E8-4F1F-8B93-27545243EEDC}" name="Table4" displayName="Table4" ref="Q5:T20" totalsRowShown="0" headerRowDxfId="3">
  <autoFilter ref="Q5:T20" xr:uid="{545EF084-C9E8-4F1F-8B93-27545243EEDC}"/>
  <tableColumns count="4">
    <tableColumn id="1" xr3:uid="{75406129-6B01-44FF-ABA8-FCD00047C1BA}" name="LOB"/>
    <tableColumn id="2" xr3:uid="{D977E030-20AF-42A4-9586-969F8975392E}" name="Age"/>
    <tableColumn id="3" xr3:uid="{6C76F01F-6536-48B2-A9DA-D2E004764612}" name="Accident Year"/>
    <tableColumn id="4" xr3:uid="{68496B52-A8B2-4A23-99E9-70AB395C7F38}" name="Claim Size (000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434DCF-985C-4333-ABB1-BE9A7730D3CB}" name="Table5" displayName="Table5" ref="V5:Y18" totalsRowShown="0" headerRowDxfId="2">
  <autoFilter ref="V5:Y18" xr:uid="{8E434DCF-985C-4333-ABB1-BE9A7730D3CB}"/>
  <tableColumns count="4">
    <tableColumn id="1" xr3:uid="{25328AD4-5836-4DC8-A23C-19BF9D431A0B}" name="LOB"/>
    <tableColumn id="2" xr3:uid="{4ABD2769-E8C6-4020-B54D-1F836FBDEF79}" name="Age"/>
    <tableColumn id="3" xr3:uid="{A71B64C6-6BF4-4EC1-8EE0-2717D0CBA214}" name="Accident Year"/>
    <tableColumn id="4" xr3:uid="{C6011C92-75A2-46A4-AEA8-431FA02B04D6}" name="Claim Size (000s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150543-1A41-4DD8-B45F-A4BB29436BCF}" name="Table6" displayName="Table6" ref="AA5:AD15" totalsRowShown="0" headerRowDxfId="1">
  <autoFilter ref="AA5:AD15" xr:uid="{EC150543-1A41-4DD8-B45F-A4BB29436BCF}"/>
  <tableColumns count="4">
    <tableColumn id="1" xr3:uid="{4779BC1E-C0F0-4545-8474-5AA589059883}" name="LOB"/>
    <tableColumn id="2" xr3:uid="{DFD5DA8C-8101-4C0D-8A28-E32C920EF38A}" name="Age"/>
    <tableColumn id="3" xr3:uid="{7FA0623E-5971-40CA-BDDF-E8B99D2E1E8B}" name="Accident Year"/>
    <tableColumn id="4" xr3:uid="{02662DE1-3605-47D7-B86A-5B2D79C06FB6}" name="Claim Size (000s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165D86-90B4-4E2C-B0BB-4D5BD9F87954}" name="Table8" displayName="Table8" ref="AF5:AI10" totalsRowShown="0" headerRowDxfId="0">
  <autoFilter ref="AF5:AI10" xr:uid="{2C165D86-90B4-4E2C-B0BB-4D5BD9F87954}"/>
  <tableColumns count="4">
    <tableColumn id="1" xr3:uid="{C0F11D48-9F7B-4549-B015-39E2EB6AB61E}" name="LOB"/>
    <tableColumn id="2" xr3:uid="{9A1151B3-C9AD-48A4-B4CF-47707391881C}" name="Age"/>
    <tableColumn id="3" xr3:uid="{6E62A946-60C5-49FC-9FB0-EA4750637E03}" name="Accident Year"/>
    <tableColumn id="4" xr3:uid="{0F22992C-CE01-490B-8ED9-792171CEF268}" name="Claim Size (000s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610AB62-4778-4DF8-AB1F-AC949CE99EC9}" name="Append1" displayName="Append1" ref="B8:D107" tableType="queryTable" totalsRowShown="0">
  <autoFilter ref="B8:D107" xr:uid="{B610AB62-4778-4DF8-AB1F-AC949CE99EC9}"/>
  <tableColumns count="3">
    <tableColumn id="1" xr3:uid="{6C11F7EC-A23D-4B9C-8EDA-D5889EC12031}" uniqueName="1" name="Age" queryTableFieldId="1"/>
    <tableColumn id="2" xr3:uid="{D88E523E-0C31-4831-8F5C-3F2B721EBAC1}" uniqueName="2" name="Accident Year" queryTableFieldId="2"/>
    <tableColumn id="3" xr3:uid="{89930304-15F6-430A-8618-BACAE4DF5CDC}" uniqueName="3" name="Claim Size (000s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420D-34D2-4622-B318-2DFCFA22BD29}">
  <dimension ref="B2:AI24"/>
  <sheetViews>
    <sheetView workbookViewId="0">
      <selection activeCell="B2" sqref="B2"/>
    </sheetView>
  </sheetViews>
  <sheetFormatPr defaultRowHeight="15" x14ac:dyDescent="0.25"/>
  <cols>
    <col min="2" max="2" width="6.85546875" customWidth="1"/>
    <col min="3" max="3" width="8.85546875" customWidth="1"/>
    <col min="4" max="4" width="15.28515625" customWidth="1"/>
    <col min="5" max="5" width="17.85546875" customWidth="1"/>
    <col min="7" max="8" width="6.5703125" customWidth="1"/>
    <col min="9" max="9" width="15.28515625" customWidth="1"/>
    <col min="10" max="10" width="17.85546875" customWidth="1"/>
    <col min="12" max="13" width="6.5703125" customWidth="1"/>
    <col min="14" max="14" width="15.28515625" customWidth="1"/>
    <col min="15" max="15" width="17.85546875" customWidth="1"/>
    <col min="17" max="18" width="6.5703125" customWidth="1"/>
    <col min="19" max="19" width="15.28515625" customWidth="1"/>
    <col min="20" max="20" width="17.85546875" customWidth="1"/>
    <col min="22" max="23" width="6.5703125" customWidth="1"/>
    <col min="24" max="24" width="15.28515625" customWidth="1"/>
    <col min="25" max="25" width="17.85546875" customWidth="1"/>
    <col min="27" max="28" width="6.5703125" customWidth="1"/>
    <col min="29" max="29" width="15.28515625" customWidth="1"/>
    <col min="30" max="30" width="17.85546875" customWidth="1"/>
    <col min="32" max="33" width="6.5703125" customWidth="1"/>
    <col min="34" max="34" width="15.28515625" customWidth="1"/>
    <col min="35" max="35" width="17.85546875" customWidth="1"/>
  </cols>
  <sheetData>
    <row r="2" spans="2:35" x14ac:dyDescent="0.25">
      <c r="B2" t="s">
        <v>38</v>
      </c>
    </row>
    <row r="4" spans="2:35" x14ac:dyDescent="0.25">
      <c r="B4" t="s">
        <v>31</v>
      </c>
      <c r="G4" s="25" t="s">
        <v>32</v>
      </c>
      <c r="H4" s="25"/>
      <c r="I4" s="25"/>
      <c r="J4" s="25"/>
      <c r="L4" t="s">
        <v>33</v>
      </c>
      <c r="Q4" t="s">
        <v>34</v>
      </c>
      <c r="V4" t="s">
        <v>35</v>
      </c>
      <c r="AA4" t="s">
        <v>36</v>
      </c>
      <c r="AF4" t="s">
        <v>37</v>
      </c>
    </row>
    <row r="5" spans="2:35" x14ac:dyDescent="0.25">
      <c r="B5" s="25" t="s">
        <v>6</v>
      </c>
      <c r="C5" s="25" t="s">
        <v>7</v>
      </c>
      <c r="D5" s="25" t="s">
        <v>8</v>
      </c>
      <c r="E5" s="25" t="s">
        <v>9</v>
      </c>
      <c r="G5" s="25" t="s">
        <v>6</v>
      </c>
      <c r="H5" s="25" t="s">
        <v>7</v>
      </c>
      <c r="I5" s="25" t="s">
        <v>8</v>
      </c>
      <c r="J5" s="25" t="s">
        <v>9</v>
      </c>
      <c r="L5" s="25" t="s">
        <v>6</v>
      </c>
      <c r="M5" s="25" t="s">
        <v>7</v>
      </c>
      <c r="N5" s="25" t="s">
        <v>8</v>
      </c>
      <c r="O5" s="25" t="s">
        <v>9</v>
      </c>
      <c r="Q5" s="25" t="s">
        <v>6</v>
      </c>
      <c r="R5" s="25" t="s">
        <v>7</v>
      </c>
      <c r="S5" s="25" t="s">
        <v>8</v>
      </c>
      <c r="T5" s="25" t="s">
        <v>9</v>
      </c>
      <c r="V5" s="25" t="s">
        <v>6</v>
      </c>
      <c r="W5" s="25" t="s">
        <v>7</v>
      </c>
      <c r="X5" s="25" t="s">
        <v>8</v>
      </c>
      <c r="Y5" s="25" t="s">
        <v>9</v>
      </c>
      <c r="AA5" s="25" t="s">
        <v>6</v>
      </c>
      <c r="AB5" s="25" t="s">
        <v>7</v>
      </c>
      <c r="AC5" s="25" t="s">
        <v>8</v>
      </c>
      <c r="AD5" s="25" t="s">
        <v>9</v>
      </c>
      <c r="AF5" s="25" t="s">
        <v>6</v>
      </c>
      <c r="AG5" s="25" t="s">
        <v>7</v>
      </c>
      <c r="AH5" s="25" t="s">
        <v>8</v>
      </c>
      <c r="AI5" s="25" t="s">
        <v>9</v>
      </c>
    </row>
    <row r="6" spans="2:35" x14ac:dyDescent="0.25">
      <c r="B6" s="26" t="s">
        <v>10</v>
      </c>
      <c r="C6" s="26">
        <v>12</v>
      </c>
      <c r="D6" s="26">
        <v>2014</v>
      </c>
      <c r="E6" s="26">
        <v>64</v>
      </c>
      <c r="G6" t="s">
        <v>10</v>
      </c>
      <c r="H6">
        <v>12</v>
      </c>
      <c r="I6">
        <v>2015</v>
      </c>
      <c r="J6">
        <v>80</v>
      </c>
      <c r="L6" t="s">
        <v>10</v>
      </c>
      <c r="M6">
        <v>12</v>
      </c>
      <c r="N6">
        <v>2016</v>
      </c>
      <c r="O6">
        <v>90</v>
      </c>
      <c r="Q6" t="s">
        <v>10</v>
      </c>
      <c r="R6">
        <v>12</v>
      </c>
      <c r="S6">
        <v>2017</v>
      </c>
      <c r="T6">
        <v>90</v>
      </c>
      <c r="V6" t="s">
        <v>10</v>
      </c>
      <c r="W6">
        <v>12</v>
      </c>
      <c r="X6">
        <v>2018</v>
      </c>
      <c r="Y6">
        <v>80</v>
      </c>
      <c r="AA6" t="s">
        <v>10</v>
      </c>
      <c r="AB6">
        <v>12</v>
      </c>
      <c r="AC6">
        <v>2019</v>
      </c>
      <c r="AD6">
        <v>90</v>
      </c>
      <c r="AF6" t="s">
        <v>10</v>
      </c>
      <c r="AG6">
        <v>12</v>
      </c>
      <c r="AH6">
        <v>2020</v>
      </c>
      <c r="AI6">
        <v>80</v>
      </c>
    </row>
    <row r="7" spans="2:35" x14ac:dyDescent="0.25">
      <c r="B7" s="25" t="s">
        <v>10</v>
      </c>
      <c r="C7" s="25">
        <v>12</v>
      </c>
      <c r="D7" s="25">
        <v>2014</v>
      </c>
      <c r="E7" s="25">
        <v>53</v>
      </c>
      <c r="G7" t="s">
        <v>10</v>
      </c>
      <c r="H7">
        <v>12</v>
      </c>
      <c r="I7">
        <v>2015</v>
      </c>
      <c r="J7">
        <v>70</v>
      </c>
      <c r="L7" t="s">
        <v>10</v>
      </c>
      <c r="M7">
        <v>12</v>
      </c>
      <c r="N7">
        <v>2016</v>
      </c>
      <c r="O7">
        <v>80</v>
      </c>
      <c r="Q7" t="s">
        <v>10</v>
      </c>
      <c r="R7">
        <v>12</v>
      </c>
      <c r="S7">
        <v>2017</v>
      </c>
      <c r="T7">
        <v>85</v>
      </c>
      <c r="V7" t="s">
        <v>10</v>
      </c>
      <c r="W7">
        <v>12</v>
      </c>
      <c r="X7">
        <v>2018</v>
      </c>
      <c r="Y7">
        <v>75</v>
      </c>
      <c r="AA7" t="s">
        <v>10</v>
      </c>
      <c r="AB7">
        <v>12</v>
      </c>
      <c r="AC7">
        <v>2019</v>
      </c>
      <c r="AD7">
        <v>85</v>
      </c>
      <c r="AF7" t="s">
        <v>10</v>
      </c>
      <c r="AG7">
        <v>12</v>
      </c>
      <c r="AH7">
        <v>2020</v>
      </c>
      <c r="AI7">
        <v>75</v>
      </c>
    </row>
    <row r="8" spans="2:35" x14ac:dyDescent="0.25">
      <c r="B8" s="25" t="s">
        <v>10</v>
      </c>
      <c r="C8" s="25">
        <v>12</v>
      </c>
      <c r="D8" s="25">
        <v>2014</v>
      </c>
      <c r="E8" s="25">
        <v>23</v>
      </c>
      <c r="G8" t="s">
        <v>10</v>
      </c>
      <c r="H8">
        <v>12</v>
      </c>
      <c r="I8">
        <v>2015</v>
      </c>
      <c r="J8">
        <v>60</v>
      </c>
      <c r="L8" t="s">
        <v>10</v>
      </c>
      <c r="M8">
        <v>12</v>
      </c>
      <c r="N8">
        <v>2016</v>
      </c>
      <c r="O8">
        <v>60</v>
      </c>
      <c r="Q8" t="s">
        <v>10</v>
      </c>
      <c r="R8">
        <v>12</v>
      </c>
      <c r="S8">
        <v>2017</v>
      </c>
      <c r="T8">
        <v>70</v>
      </c>
      <c r="V8" t="s">
        <v>10</v>
      </c>
      <c r="W8">
        <v>12</v>
      </c>
      <c r="X8">
        <v>2018</v>
      </c>
      <c r="Y8">
        <v>70</v>
      </c>
      <c r="AA8" t="s">
        <v>10</v>
      </c>
      <c r="AB8">
        <v>12</v>
      </c>
      <c r="AC8">
        <v>2019</v>
      </c>
      <c r="AD8">
        <v>80</v>
      </c>
      <c r="AF8" t="s">
        <v>10</v>
      </c>
      <c r="AG8">
        <v>12</v>
      </c>
      <c r="AH8">
        <v>2020</v>
      </c>
      <c r="AI8">
        <v>60</v>
      </c>
    </row>
    <row r="9" spans="2:35" x14ac:dyDescent="0.25">
      <c r="B9" s="25" t="s">
        <v>10</v>
      </c>
      <c r="C9" s="25">
        <v>12</v>
      </c>
      <c r="D9" s="25">
        <v>2014</v>
      </c>
      <c r="E9" s="25">
        <v>110</v>
      </c>
      <c r="G9" t="s">
        <v>10</v>
      </c>
      <c r="H9">
        <v>12</v>
      </c>
      <c r="I9">
        <v>2015</v>
      </c>
      <c r="J9">
        <v>90</v>
      </c>
      <c r="L9" t="s">
        <v>10</v>
      </c>
      <c r="M9">
        <v>12</v>
      </c>
      <c r="N9">
        <v>2016</v>
      </c>
      <c r="O9">
        <v>65</v>
      </c>
      <c r="Q9" t="s">
        <v>10</v>
      </c>
      <c r="R9">
        <v>12</v>
      </c>
      <c r="S9">
        <v>2017</v>
      </c>
      <c r="T9">
        <v>60</v>
      </c>
      <c r="V9" t="s">
        <v>10</v>
      </c>
      <c r="W9">
        <v>12</v>
      </c>
      <c r="X9">
        <v>2018</v>
      </c>
      <c r="Y9">
        <v>90</v>
      </c>
      <c r="AA9" t="s">
        <v>10</v>
      </c>
      <c r="AB9">
        <v>12</v>
      </c>
      <c r="AC9">
        <v>2019</v>
      </c>
      <c r="AD9">
        <v>70</v>
      </c>
      <c r="AF9" t="s">
        <v>10</v>
      </c>
      <c r="AG9">
        <v>12</v>
      </c>
      <c r="AH9">
        <v>2020</v>
      </c>
      <c r="AI9">
        <v>70</v>
      </c>
    </row>
    <row r="10" spans="2:35" x14ac:dyDescent="0.25">
      <c r="B10" s="25" t="s">
        <v>10</v>
      </c>
      <c r="C10" s="25">
        <v>12</v>
      </c>
      <c r="D10" s="25">
        <v>2014</v>
      </c>
      <c r="E10" s="25">
        <v>132</v>
      </c>
      <c r="G10" t="s">
        <v>10</v>
      </c>
      <c r="H10">
        <v>12</v>
      </c>
      <c r="I10">
        <v>2015</v>
      </c>
      <c r="J10">
        <v>75</v>
      </c>
      <c r="L10" t="s">
        <v>10</v>
      </c>
      <c r="M10">
        <v>12</v>
      </c>
      <c r="N10">
        <v>2016</v>
      </c>
      <c r="O10">
        <v>90</v>
      </c>
      <c r="Q10" t="s">
        <v>10</v>
      </c>
      <c r="R10">
        <v>12</v>
      </c>
      <c r="S10">
        <v>2017</v>
      </c>
      <c r="T10">
        <v>94</v>
      </c>
      <c r="V10" t="s">
        <v>10</v>
      </c>
      <c r="W10">
        <v>12</v>
      </c>
      <c r="X10">
        <v>2018</v>
      </c>
      <c r="Y10">
        <v>82</v>
      </c>
      <c r="AA10" t="s">
        <v>10</v>
      </c>
      <c r="AB10">
        <v>12</v>
      </c>
      <c r="AC10">
        <v>2019</v>
      </c>
      <c r="AD10">
        <v>97</v>
      </c>
      <c r="AF10" t="s">
        <v>10</v>
      </c>
      <c r="AG10">
        <v>12</v>
      </c>
      <c r="AH10">
        <v>2020</v>
      </c>
      <c r="AI10">
        <v>100</v>
      </c>
    </row>
    <row r="11" spans="2:35" x14ac:dyDescent="0.25">
      <c r="B11" s="25" t="s">
        <v>10</v>
      </c>
      <c r="C11" s="25">
        <v>24</v>
      </c>
      <c r="D11" s="25">
        <v>2014</v>
      </c>
      <c r="E11" s="25">
        <v>34</v>
      </c>
      <c r="G11" t="s">
        <v>10</v>
      </c>
      <c r="H11">
        <v>24</v>
      </c>
      <c r="I11">
        <v>2015</v>
      </c>
      <c r="J11">
        <v>120</v>
      </c>
      <c r="L11" t="s">
        <v>10</v>
      </c>
      <c r="M11">
        <v>24</v>
      </c>
      <c r="N11">
        <v>2016</v>
      </c>
      <c r="O11">
        <v>130</v>
      </c>
      <c r="Q11" t="s">
        <v>10</v>
      </c>
      <c r="R11">
        <v>24</v>
      </c>
      <c r="S11">
        <v>2017</v>
      </c>
      <c r="T11">
        <v>100</v>
      </c>
      <c r="V11" t="s">
        <v>10</v>
      </c>
      <c r="W11">
        <v>24</v>
      </c>
      <c r="X11">
        <v>2018</v>
      </c>
      <c r="Y11">
        <v>120</v>
      </c>
      <c r="AA11" t="s">
        <v>10</v>
      </c>
      <c r="AB11">
        <v>24</v>
      </c>
      <c r="AC11">
        <v>2019</v>
      </c>
      <c r="AD11">
        <v>100</v>
      </c>
    </row>
    <row r="12" spans="2:35" x14ac:dyDescent="0.25">
      <c r="B12" s="25" t="s">
        <v>10</v>
      </c>
      <c r="C12" s="25">
        <v>24</v>
      </c>
      <c r="D12" s="25">
        <v>2014</v>
      </c>
      <c r="E12" s="25">
        <v>125</v>
      </c>
      <c r="G12" t="s">
        <v>10</v>
      </c>
      <c r="H12">
        <v>24</v>
      </c>
      <c r="I12">
        <v>2015</v>
      </c>
      <c r="J12">
        <v>90</v>
      </c>
      <c r="L12" t="s">
        <v>10</v>
      </c>
      <c r="M12">
        <v>24</v>
      </c>
      <c r="N12">
        <v>2016</v>
      </c>
      <c r="O12">
        <v>80</v>
      </c>
      <c r="Q12" t="s">
        <v>10</v>
      </c>
      <c r="R12">
        <v>24</v>
      </c>
      <c r="S12">
        <v>2017</v>
      </c>
      <c r="T12">
        <v>80</v>
      </c>
      <c r="V12" t="s">
        <v>10</v>
      </c>
      <c r="W12">
        <v>24</v>
      </c>
      <c r="X12">
        <v>2018</v>
      </c>
      <c r="Y12">
        <v>80</v>
      </c>
      <c r="AA12" t="s">
        <v>10</v>
      </c>
      <c r="AB12">
        <v>24</v>
      </c>
      <c r="AC12">
        <v>2019</v>
      </c>
      <c r="AD12">
        <v>80</v>
      </c>
    </row>
    <row r="13" spans="2:35" x14ac:dyDescent="0.25">
      <c r="B13" s="25" t="s">
        <v>10</v>
      </c>
      <c r="C13" s="25">
        <v>24</v>
      </c>
      <c r="D13" s="25">
        <v>2014</v>
      </c>
      <c r="E13" s="25">
        <v>33</v>
      </c>
      <c r="G13" t="s">
        <v>10</v>
      </c>
      <c r="H13">
        <v>24</v>
      </c>
      <c r="I13">
        <v>2015</v>
      </c>
      <c r="J13">
        <v>40</v>
      </c>
      <c r="L13" t="s">
        <v>10</v>
      </c>
      <c r="M13">
        <v>24</v>
      </c>
      <c r="N13">
        <v>2016</v>
      </c>
      <c r="O13">
        <v>40</v>
      </c>
      <c r="Q13" t="s">
        <v>10</v>
      </c>
      <c r="R13">
        <v>24</v>
      </c>
      <c r="S13">
        <v>2017</v>
      </c>
      <c r="T13">
        <v>40</v>
      </c>
      <c r="V13" t="s">
        <v>10</v>
      </c>
      <c r="W13">
        <v>24</v>
      </c>
      <c r="X13">
        <v>2018</v>
      </c>
      <c r="Y13">
        <v>30</v>
      </c>
      <c r="AA13" t="s">
        <v>10</v>
      </c>
      <c r="AB13">
        <v>24</v>
      </c>
      <c r="AC13">
        <v>2019</v>
      </c>
      <c r="AD13">
        <v>40</v>
      </c>
    </row>
    <row r="14" spans="2:35" x14ac:dyDescent="0.25">
      <c r="B14" s="25" t="s">
        <v>10</v>
      </c>
      <c r="C14" s="25">
        <v>24</v>
      </c>
      <c r="D14" s="25">
        <v>2014</v>
      </c>
      <c r="E14" s="25">
        <v>57</v>
      </c>
      <c r="G14" t="s">
        <v>10</v>
      </c>
      <c r="H14">
        <v>24</v>
      </c>
      <c r="I14">
        <v>2015</v>
      </c>
      <c r="J14">
        <v>55</v>
      </c>
      <c r="L14" t="s">
        <v>10</v>
      </c>
      <c r="M14">
        <v>24</v>
      </c>
      <c r="N14">
        <v>2016</v>
      </c>
      <c r="O14">
        <v>60</v>
      </c>
      <c r="Q14" t="s">
        <v>10</v>
      </c>
      <c r="R14">
        <v>24</v>
      </c>
      <c r="S14">
        <v>2017</v>
      </c>
      <c r="T14">
        <v>71</v>
      </c>
      <c r="V14" t="s">
        <v>10</v>
      </c>
      <c r="W14">
        <v>24</v>
      </c>
      <c r="X14">
        <v>2018</v>
      </c>
      <c r="Y14">
        <v>60</v>
      </c>
      <c r="AA14" t="s">
        <v>10</v>
      </c>
      <c r="AB14">
        <v>24</v>
      </c>
      <c r="AC14">
        <v>2019</v>
      </c>
      <c r="AD14">
        <v>60</v>
      </c>
    </row>
    <row r="15" spans="2:35" x14ac:dyDescent="0.25">
      <c r="B15" s="25" t="s">
        <v>10</v>
      </c>
      <c r="C15" s="25">
        <v>24</v>
      </c>
      <c r="D15" s="25">
        <v>2014</v>
      </c>
      <c r="E15" s="25">
        <v>99</v>
      </c>
      <c r="G15" t="s">
        <v>10</v>
      </c>
      <c r="H15">
        <v>24</v>
      </c>
      <c r="I15">
        <v>2015</v>
      </c>
      <c r="J15">
        <v>65</v>
      </c>
      <c r="L15" t="s">
        <v>10</v>
      </c>
      <c r="M15">
        <v>24</v>
      </c>
      <c r="N15">
        <v>2016</v>
      </c>
      <c r="O15">
        <v>60</v>
      </c>
      <c r="Q15" t="s">
        <v>10</v>
      </c>
      <c r="R15">
        <v>24</v>
      </c>
      <c r="S15">
        <v>2017</v>
      </c>
      <c r="T15">
        <v>70</v>
      </c>
      <c r="V15" t="s">
        <v>10</v>
      </c>
      <c r="W15">
        <v>24</v>
      </c>
      <c r="X15">
        <v>2018</v>
      </c>
      <c r="Y15">
        <v>63</v>
      </c>
      <c r="AA15" t="s">
        <v>10</v>
      </c>
      <c r="AB15">
        <v>24</v>
      </c>
      <c r="AC15">
        <v>2019</v>
      </c>
      <c r="AD15">
        <v>60</v>
      </c>
    </row>
    <row r="16" spans="2:35" x14ac:dyDescent="0.25">
      <c r="B16" s="25" t="s">
        <v>10</v>
      </c>
      <c r="C16" s="25">
        <v>36</v>
      </c>
      <c r="D16" s="25">
        <v>2014</v>
      </c>
      <c r="E16" s="25">
        <v>33</v>
      </c>
      <c r="G16" t="s">
        <v>10</v>
      </c>
      <c r="H16">
        <v>36</v>
      </c>
      <c r="I16">
        <v>2015</v>
      </c>
      <c r="J16">
        <v>70</v>
      </c>
      <c r="L16" t="s">
        <v>10</v>
      </c>
      <c r="M16">
        <v>36</v>
      </c>
      <c r="N16">
        <v>2016</v>
      </c>
      <c r="O16">
        <v>60</v>
      </c>
      <c r="Q16" t="s">
        <v>10</v>
      </c>
      <c r="R16">
        <v>36</v>
      </c>
      <c r="S16">
        <v>2017</v>
      </c>
      <c r="T16">
        <v>80</v>
      </c>
      <c r="V16" t="s">
        <v>10</v>
      </c>
      <c r="W16">
        <v>36</v>
      </c>
      <c r="X16">
        <v>2018</v>
      </c>
      <c r="Y16">
        <v>70</v>
      </c>
    </row>
    <row r="17" spans="2:25" x14ac:dyDescent="0.25">
      <c r="B17" s="25" t="s">
        <v>10</v>
      </c>
      <c r="C17" s="25">
        <v>36</v>
      </c>
      <c r="D17" s="25">
        <v>2014</v>
      </c>
      <c r="E17" s="25">
        <v>57</v>
      </c>
      <c r="G17" t="s">
        <v>10</v>
      </c>
      <c r="H17">
        <v>36</v>
      </c>
      <c r="I17">
        <v>2015</v>
      </c>
      <c r="J17">
        <v>50</v>
      </c>
      <c r="L17" t="s">
        <v>10</v>
      </c>
      <c r="M17">
        <v>36</v>
      </c>
      <c r="N17">
        <v>2016</v>
      </c>
      <c r="O17">
        <v>50</v>
      </c>
      <c r="Q17" t="s">
        <v>10</v>
      </c>
      <c r="R17">
        <v>36</v>
      </c>
      <c r="S17">
        <v>2017</v>
      </c>
      <c r="T17">
        <v>50</v>
      </c>
      <c r="V17" t="s">
        <v>10</v>
      </c>
      <c r="W17">
        <v>36</v>
      </c>
      <c r="X17">
        <v>2018</v>
      </c>
      <c r="Y17">
        <v>52</v>
      </c>
    </row>
    <row r="18" spans="2:25" x14ac:dyDescent="0.25">
      <c r="B18" s="25" t="s">
        <v>10</v>
      </c>
      <c r="C18" s="25">
        <v>36</v>
      </c>
      <c r="D18" s="25">
        <v>2014</v>
      </c>
      <c r="E18" s="25">
        <v>70</v>
      </c>
      <c r="G18" t="s">
        <v>10</v>
      </c>
      <c r="H18">
        <v>36</v>
      </c>
      <c r="I18">
        <v>2015</v>
      </c>
      <c r="J18">
        <v>41</v>
      </c>
      <c r="L18" t="s">
        <v>10</v>
      </c>
      <c r="M18">
        <v>36</v>
      </c>
      <c r="N18">
        <v>2016</v>
      </c>
      <c r="O18">
        <v>46</v>
      </c>
      <c r="Q18" t="s">
        <v>10</v>
      </c>
      <c r="R18">
        <v>36</v>
      </c>
      <c r="S18">
        <v>2017</v>
      </c>
      <c r="T18">
        <v>41</v>
      </c>
      <c r="V18" t="s">
        <v>10</v>
      </c>
      <c r="W18">
        <v>36</v>
      </c>
      <c r="X18">
        <v>2018</v>
      </c>
      <c r="Y18">
        <v>50</v>
      </c>
    </row>
    <row r="19" spans="2:25" x14ac:dyDescent="0.25">
      <c r="B19" s="25" t="s">
        <v>10</v>
      </c>
      <c r="C19" s="25">
        <v>48</v>
      </c>
      <c r="D19" s="25">
        <v>2014</v>
      </c>
      <c r="E19" s="25">
        <v>12</v>
      </c>
      <c r="G19" t="s">
        <v>10</v>
      </c>
      <c r="H19">
        <v>48</v>
      </c>
      <c r="I19">
        <v>2015</v>
      </c>
      <c r="J19">
        <v>6</v>
      </c>
      <c r="L19" t="s">
        <v>10</v>
      </c>
      <c r="M19">
        <v>48</v>
      </c>
      <c r="N19">
        <v>2016</v>
      </c>
      <c r="O19">
        <v>8</v>
      </c>
      <c r="Q19" t="s">
        <v>10</v>
      </c>
      <c r="R19">
        <v>48</v>
      </c>
      <c r="S19">
        <v>2017</v>
      </c>
      <c r="T19">
        <v>5</v>
      </c>
    </row>
    <row r="20" spans="2:25" x14ac:dyDescent="0.25">
      <c r="B20" s="25" t="s">
        <v>10</v>
      </c>
      <c r="C20" s="25">
        <v>48</v>
      </c>
      <c r="D20" s="25">
        <v>2014</v>
      </c>
      <c r="E20" s="25">
        <v>18</v>
      </c>
      <c r="G20" t="s">
        <v>10</v>
      </c>
      <c r="H20">
        <v>48</v>
      </c>
      <c r="I20">
        <v>2015</v>
      </c>
      <c r="J20">
        <v>4</v>
      </c>
      <c r="L20" t="s">
        <v>10</v>
      </c>
      <c r="M20">
        <v>48</v>
      </c>
      <c r="N20">
        <v>2016</v>
      </c>
      <c r="O20">
        <v>6</v>
      </c>
      <c r="Q20" t="s">
        <v>10</v>
      </c>
      <c r="R20">
        <v>48</v>
      </c>
      <c r="S20">
        <v>2017</v>
      </c>
      <c r="T20">
        <v>4</v>
      </c>
    </row>
    <row r="21" spans="2:25" x14ac:dyDescent="0.25">
      <c r="B21" s="25" t="s">
        <v>10</v>
      </c>
      <c r="C21" s="25">
        <v>60</v>
      </c>
      <c r="D21" s="25">
        <v>2014</v>
      </c>
      <c r="E21" s="25">
        <v>3</v>
      </c>
      <c r="G21" t="s">
        <v>10</v>
      </c>
      <c r="H21">
        <v>60</v>
      </c>
      <c r="I21">
        <v>2015</v>
      </c>
      <c r="J21">
        <v>6</v>
      </c>
      <c r="L21" t="s">
        <v>10</v>
      </c>
      <c r="M21">
        <v>60</v>
      </c>
      <c r="N21">
        <v>2016</v>
      </c>
      <c r="O21">
        <v>2</v>
      </c>
    </row>
    <row r="22" spans="2:25" x14ac:dyDescent="0.25">
      <c r="B22" s="25" t="s">
        <v>10</v>
      </c>
      <c r="C22" s="25">
        <v>60</v>
      </c>
      <c r="D22" s="25">
        <v>2014</v>
      </c>
      <c r="E22" s="25">
        <v>2</v>
      </c>
      <c r="G22" t="s">
        <v>10</v>
      </c>
      <c r="H22">
        <v>60</v>
      </c>
      <c r="I22">
        <v>2015</v>
      </c>
      <c r="J22">
        <v>5</v>
      </c>
      <c r="L22" t="s">
        <v>10</v>
      </c>
      <c r="M22">
        <v>60</v>
      </c>
      <c r="N22">
        <v>2016</v>
      </c>
      <c r="O22">
        <v>1</v>
      </c>
    </row>
    <row r="23" spans="2:25" x14ac:dyDescent="0.25">
      <c r="B23" s="25" t="s">
        <v>10</v>
      </c>
      <c r="C23" s="25">
        <v>60</v>
      </c>
      <c r="D23" s="25">
        <v>2014</v>
      </c>
      <c r="E23" s="25">
        <v>4</v>
      </c>
      <c r="G23" t="s">
        <v>10</v>
      </c>
      <c r="H23">
        <v>60</v>
      </c>
      <c r="I23">
        <v>2015</v>
      </c>
      <c r="J23">
        <v>3</v>
      </c>
      <c r="L23" t="s">
        <v>10</v>
      </c>
      <c r="M23">
        <v>60</v>
      </c>
      <c r="N23">
        <v>2016</v>
      </c>
      <c r="O23">
        <v>1</v>
      </c>
    </row>
    <row r="24" spans="2:25" x14ac:dyDescent="0.25">
      <c r="B24" s="25" t="s">
        <v>10</v>
      </c>
      <c r="C24" s="25">
        <v>72</v>
      </c>
      <c r="D24" s="25">
        <v>2014</v>
      </c>
      <c r="E24" s="25">
        <v>1</v>
      </c>
      <c r="G24" t="s">
        <v>10</v>
      </c>
      <c r="H24">
        <v>72</v>
      </c>
      <c r="I24">
        <v>2015</v>
      </c>
      <c r="J24">
        <v>3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35C8-4B65-4AA3-90C7-5A8B2DC3390E}">
  <dimension ref="B2:D107"/>
  <sheetViews>
    <sheetView workbookViewId="0">
      <selection activeCell="B3" sqref="B3"/>
    </sheetView>
  </sheetViews>
  <sheetFormatPr defaultRowHeight="15" x14ac:dyDescent="0.25"/>
  <cols>
    <col min="2" max="2" width="6.7109375" bestFit="1" customWidth="1"/>
    <col min="3" max="3" width="15.5703125" bestFit="1" customWidth="1"/>
    <col min="4" max="4" width="18.140625" bestFit="1" customWidth="1"/>
  </cols>
  <sheetData>
    <row r="2" spans="2:4" x14ac:dyDescent="0.25">
      <c r="B2" t="s">
        <v>42</v>
      </c>
    </row>
    <row r="5" spans="2:4" x14ac:dyDescent="0.25">
      <c r="B5" t="s">
        <v>38</v>
      </c>
    </row>
    <row r="8" spans="2:4" x14ac:dyDescent="0.25">
      <c r="B8" t="s">
        <v>7</v>
      </c>
      <c r="C8" t="s">
        <v>8</v>
      </c>
      <c r="D8" t="s">
        <v>9</v>
      </c>
    </row>
    <row r="9" spans="2:4" x14ac:dyDescent="0.25">
      <c r="B9">
        <v>12</v>
      </c>
      <c r="C9">
        <v>2014</v>
      </c>
      <c r="D9">
        <v>64</v>
      </c>
    </row>
    <row r="10" spans="2:4" x14ac:dyDescent="0.25">
      <c r="B10">
        <v>12</v>
      </c>
      <c r="C10">
        <v>2014</v>
      </c>
      <c r="D10">
        <v>53</v>
      </c>
    </row>
    <row r="11" spans="2:4" x14ac:dyDescent="0.25">
      <c r="B11">
        <v>12</v>
      </c>
      <c r="C11">
        <v>2014</v>
      </c>
      <c r="D11">
        <v>23</v>
      </c>
    </row>
    <row r="12" spans="2:4" x14ac:dyDescent="0.25">
      <c r="B12">
        <v>12</v>
      </c>
      <c r="C12">
        <v>2014</v>
      </c>
      <c r="D12">
        <v>110</v>
      </c>
    </row>
    <row r="13" spans="2:4" x14ac:dyDescent="0.25">
      <c r="B13">
        <v>12</v>
      </c>
      <c r="C13">
        <v>2014</v>
      </c>
      <c r="D13">
        <v>132</v>
      </c>
    </row>
    <row r="14" spans="2:4" x14ac:dyDescent="0.25">
      <c r="B14">
        <v>24</v>
      </c>
      <c r="C14">
        <v>2014</v>
      </c>
      <c r="D14">
        <v>34</v>
      </c>
    </row>
    <row r="15" spans="2:4" x14ac:dyDescent="0.25">
      <c r="B15">
        <v>24</v>
      </c>
      <c r="C15">
        <v>2014</v>
      </c>
      <c r="D15">
        <v>125</v>
      </c>
    </row>
    <row r="16" spans="2:4" x14ac:dyDescent="0.25">
      <c r="B16">
        <v>24</v>
      </c>
      <c r="C16">
        <v>2014</v>
      </c>
      <c r="D16">
        <v>33</v>
      </c>
    </row>
    <row r="17" spans="2:4" x14ac:dyDescent="0.25">
      <c r="B17">
        <v>24</v>
      </c>
      <c r="C17">
        <v>2014</v>
      </c>
      <c r="D17">
        <v>57</v>
      </c>
    </row>
    <row r="18" spans="2:4" x14ac:dyDescent="0.25">
      <c r="B18">
        <v>24</v>
      </c>
      <c r="C18">
        <v>2014</v>
      </c>
      <c r="D18">
        <v>99</v>
      </c>
    </row>
    <row r="19" spans="2:4" x14ac:dyDescent="0.25">
      <c r="B19">
        <v>36</v>
      </c>
      <c r="C19">
        <v>2014</v>
      </c>
      <c r="D19">
        <v>33</v>
      </c>
    </row>
    <row r="20" spans="2:4" x14ac:dyDescent="0.25">
      <c r="B20">
        <v>36</v>
      </c>
      <c r="C20">
        <v>2014</v>
      </c>
      <c r="D20">
        <v>57</v>
      </c>
    </row>
    <row r="21" spans="2:4" x14ac:dyDescent="0.25">
      <c r="B21">
        <v>36</v>
      </c>
      <c r="C21">
        <v>2014</v>
      </c>
      <c r="D21">
        <v>70</v>
      </c>
    </row>
    <row r="22" spans="2:4" x14ac:dyDescent="0.25">
      <c r="B22">
        <v>48</v>
      </c>
      <c r="C22">
        <v>2014</v>
      </c>
      <c r="D22">
        <v>12</v>
      </c>
    </row>
    <row r="23" spans="2:4" x14ac:dyDescent="0.25">
      <c r="B23">
        <v>48</v>
      </c>
      <c r="C23">
        <v>2014</v>
      </c>
      <c r="D23">
        <v>18</v>
      </c>
    </row>
    <row r="24" spans="2:4" x14ac:dyDescent="0.25">
      <c r="B24">
        <v>60</v>
      </c>
      <c r="C24">
        <v>2014</v>
      </c>
      <c r="D24">
        <v>3</v>
      </c>
    </row>
    <row r="25" spans="2:4" x14ac:dyDescent="0.25">
      <c r="B25">
        <v>60</v>
      </c>
      <c r="C25">
        <v>2014</v>
      </c>
      <c r="D25">
        <v>2</v>
      </c>
    </row>
    <row r="26" spans="2:4" x14ac:dyDescent="0.25">
      <c r="B26">
        <v>60</v>
      </c>
      <c r="C26">
        <v>2014</v>
      </c>
      <c r="D26">
        <v>4</v>
      </c>
    </row>
    <row r="27" spans="2:4" x14ac:dyDescent="0.25">
      <c r="B27">
        <v>72</v>
      </c>
      <c r="C27">
        <v>2014</v>
      </c>
      <c r="D27">
        <v>1</v>
      </c>
    </row>
    <row r="28" spans="2:4" x14ac:dyDescent="0.25">
      <c r="B28">
        <v>12</v>
      </c>
      <c r="C28">
        <v>2015</v>
      </c>
      <c r="D28">
        <v>80</v>
      </c>
    </row>
    <row r="29" spans="2:4" x14ac:dyDescent="0.25">
      <c r="B29">
        <v>12</v>
      </c>
      <c r="C29">
        <v>2015</v>
      </c>
      <c r="D29">
        <v>70</v>
      </c>
    </row>
    <row r="30" spans="2:4" x14ac:dyDescent="0.25">
      <c r="B30">
        <v>12</v>
      </c>
      <c r="C30">
        <v>2015</v>
      </c>
      <c r="D30">
        <v>60</v>
      </c>
    </row>
    <row r="31" spans="2:4" x14ac:dyDescent="0.25">
      <c r="B31">
        <v>12</v>
      </c>
      <c r="C31">
        <v>2015</v>
      </c>
      <c r="D31">
        <v>90</v>
      </c>
    </row>
    <row r="32" spans="2:4" x14ac:dyDescent="0.25">
      <c r="B32">
        <v>12</v>
      </c>
      <c r="C32">
        <v>2015</v>
      </c>
      <c r="D32">
        <v>75</v>
      </c>
    </row>
    <row r="33" spans="2:4" x14ac:dyDescent="0.25">
      <c r="B33">
        <v>24</v>
      </c>
      <c r="C33">
        <v>2015</v>
      </c>
      <c r="D33">
        <v>120</v>
      </c>
    </row>
    <row r="34" spans="2:4" x14ac:dyDescent="0.25">
      <c r="B34">
        <v>24</v>
      </c>
      <c r="C34">
        <v>2015</v>
      </c>
      <c r="D34">
        <v>90</v>
      </c>
    </row>
    <row r="35" spans="2:4" x14ac:dyDescent="0.25">
      <c r="B35">
        <v>24</v>
      </c>
      <c r="C35">
        <v>2015</v>
      </c>
      <c r="D35">
        <v>40</v>
      </c>
    </row>
    <row r="36" spans="2:4" x14ac:dyDescent="0.25">
      <c r="B36">
        <v>24</v>
      </c>
      <c r="C36">
        <v>2015</v>
      </c>
      <c r="D36">
        <v>55</v>
      </c>
    </row>
    <row r="37" spans="2:4" x14ac:dyDescent="0.25">
      <c r="B37">
        <v>24</v>
      </c>
      <c r="C37">
        <v>2015</v>
      </c>
      <c r="D37">
        <v>65</v>
      </c>
    </row>
    <row r="38" spans="2:4" x14ac:dyDescent="0.25">
      <c r="B38">
        <v>36</v>
      </c>
      <c r="C38">
        <v>2015</v>
      </c>
      <c r="D38">
        <v>70</v>
      </c>
    </row>
    <row r="39" spans="2:4" x14ac:dyDescent="0.25">
      <c r="B39">
        <v>36</v>
      </c>
      <c r="C39">
        <v>2015</v>
      </c>
      <c r="D39">
        <v>50</v>
      </c>
    </row>
    <row r="40" spans="2:4" x14ac:dyDescent="0.25">
      <c r="B40">
        <v>36</v>
      </c>
      <c r="C40">
        <v>2015</v>
      </c>
      <c r="D40">
        <v>41</v>
      </c>
    </row>
    <row r="41" spans="2:4" x14ac:dyDescent="0.25">
      <c r="B41">
        <v>48</v>
      </c>
      <c r="C41">
        <v>2015</v>
      </c>
      <c r="D41">
        <v>6</v>
      </c>
    </row>
    <row r="42" spans="2:4" x14ac:dyDescent="0.25">
      <c r="B42">
        <v>48</v>
      </c>
      <c r="C42">
        <v>2015</v>
      </c>
      <c r="D42">
        <v>4</v>
      </c>
    </row>
    <row r="43" spans="2:4" x14ac:dyDescent="0.25">
      <c r="B43">
        <v>60</v>
      </c>
      <c r="C43">
        <v>2015</v>
      </c>
      <c r="D43">
        <v>6</v>
      </c>
    </row>
    <row r="44" spans="2:4" x14ac:dyDescent="0.25">
      <c r="B44">
        <v>60</v>
      </c>
      <c r="C44">
        <v>2015</v>
      </c>
      <c r="D44">
        <v>5</v>
      </c>
    </row>
    <row r="45" spans="2:4" x14ac:dyDescent="0.25">
      <c r="B45">
        <v>60</v>
      </c>
      <c r="C45">
        <v>2015</v>
      </c>
      <c r="D45">
        <v>3</v>
      </c>
    </row>
    <row r="46" spans="2:4" x14ac:dyDescent="0.25">
      <c r="B46">
        <v>72</v>
      </c>
      <c r="C46">
        <v>2015</v>
      </c>
      <c r="D46">
        <v>3</v>
      </c>
    </row>
    <row r="47" spans="2:4" x14ac:dyDescent="0.25">
      <c r="B47">
        <v>12</v>
      </c>
      <c r="C47">
        <v>2016</v>
      </c>
      <c r="D47">
        <v>90</v>
      </c>
    </row>
    <row r="48" spans="2:4" x14ac:dyDescent="0.25">
      <c r="B48">
        <v>12</v>
      </c>
      <c r="C48">
        <v>2016</v>
      </c>
      <c r="D48">
        <v>80</v>
      </c>
    </row>
    <row r="49" spans="2:4" x14ac:dyDescent="0.25">
      <c r="B49">
        <v>12</v>
      </c>
      <c r="C49">
        <v>2016</v>
      </c>
      <c r="D49">
        <v>60</v>
      </c>
    </row>
    <row r="50" spans="2:4" x14ac:dyDescent="0.25">
      <c r="B50">
        <v>12</v>
      </c>
      <c r="C50">
        <v>2016</v>
      </c>
      <c r="D50">
        <v>65</v>
      </c>
    </row>
    <row r="51" spans="2:4" x14ac:dyDescent="0.25">
      <c r="B51">
        <v>12</v>
      </c>
      <c r="C51">
        <v>2016</v>
      </c>
      <c r="D51">
        <v>90</v>
      </c>
    </row>
    <row r="52" spans="2:4" x14ac:dyDescent="0.25">
      <c r="B52">
        <v>24</v>
      </c>
      <c r="C52">
        <v>2016</v>
      </c>
      <c r="D52">
        <v>130</v>
      </c>
    </row>
    <row r="53" spans="2:4" x14ac:dyDescent="0.25">
      <c r="B53">
        <v>24</v>
      </c>
      <c r="C53">
        <v>2016</v>
      </c>
      <c r="D53">
        <v>80</v>
      </c>
    </row>
    <row r="54" spans="2:4" x14ac:dyDescent="0.25">
      <c r="B54">
        <v>24</v>
      </c>
      <c r="C54">
        <v>2016</v>
      </c>
      <c r="D54">
        <v>40</v>
      </c>
    </row>
    <row r="55" spans="2:4" x14ac:dyDescent="0.25">
      <c r="B55">
        <v>24</v>
      </c>
      <c r="C55">
        <v>2016</v>
      </c>
      <c r="D55">
        <v>60</v>
      </c>
    </row>
    <row r="56" spans="2:4" x14ac:dyDescent="0.25">
      <c r="B56">
        <v>24</v>
      </c>
      <c r="C56">
        <v>2016</v>
      </c>
      <c r="D56">
        <v>60</v>
      </c>
    </row>
    <row r="57" spans="2:4" x14ac:dyDescent="0.25">
      <c r="B57">
        <v>36</v>
      </c>
      <c r="C57">
        <v>2016</v>
      </c>
      <c r="D57">
        <v>60</v>
      </c>
    </row>
    <row r="58" spans="2:4" x14ac:dyDescent="0.25">
      <c r="B58">
        <v>36</v>
      </c>
      <c r="C58">
        <v>2016</v>
      </c>
      <c r="D58">
        <v>50</v>
      </c>
    </row>
    <row r="59" spans="2:4" x14ac:dyDescent="0.25">
      <c r="B59">
        <v>36</v>
      </c>
      <c r="C59">
        <v>2016</v>
      </c>
      <c r="D59">
        <v>46</v>
      </c>
    </row>
    <row r="60" spans="2:4" x14ac:dyDescent="0.25">
      <c r="B60">
        <v>48</v>
      </c>
      <c r="C60">
        <v>2016</v>
      </c>
      <c r="D60">
        <v>8</v>
      </c>
    </row>
    <row r="61" spans="2:4" x14ac:dyDescent="0.25">
      <c r="B61">
        <v>48</v>
      </c>
      <c r="C61">
        <v>2016</v>
      </c>
      <c r="D61">
        <v>6</v>
      </c>
    </row>
    <row r="62" spans="2:4" x14ac:dyDescent="0.25">
      <c r="B62">
        <v>60</v>
      </c>
      <c r="C62">
        <v>2016</v>
      </c>
      <c r="D62">
        <v>2</v>
      </c>
    </row>
    <row r="63" spans="2:4" x14ac:dyDescent="0.25">
      <c r="B63">
        <v>60</v>
      </c>
      <c r="C63">
        <v>2016</v>
      </c>
      <c r="D63">
        <v>1</v>
      </c>
    </row>
    <row r="64" spans="2:4" x14ac:dyDescent="0.25">
      <c r="B64">
        <v>60</v>
      </c>
      <c r="C64">
        <v>2016</v>
      </c>
      <c r="D64">
        <v>1</v>
      </c>
    </row>
    <row r="65" spans="2:4" x14ac:dyDescent="0.25">
      <c r="B65">
        <v>12</v>
      </c>
      <c r="C65">
        <v>2017</v>
      </c>
      <c r="D65">
        <v>90</v>
      </c>
    </row>
    <row r="66" spans="2:4" x14ac:dyDescent="0.25">
      <c r="B66">
        <v>12</v>
      </c>
      <c r="C66">
        <v>2017</v>
      </c>
      <c r="D66">
        <v>85</v>
      </c>
    </row>
    <row r="67" spans="2:4" x14ac:dyDescent="0.25">
      <c r="B67">
        <v>12</v>
      </c>
      <c r="C67">
        <v>2017</v>
      </c>
      <c r="D67">
        <v>70</v>
      </c>
    </row>
    <row r="68" spans="2:4" x14ac:dyDescent="0.25">
      <c r="B68">
        <v>12</v>
      </c>
      <c r="C68">
        <v>2017</v>
      </c>
      <c r="D68">
        <v>60</v>
      </c>
    </row>
    <row r="69" spans="2:4" x14ac:dyDescent="0.25">
      <c r="B69">
        <v>12</v>
      </c>
      <c r="C69">
        <v>2017</v>
      </c>
      <c r="D69">
        <v>94</v>
      </c>
    </row>
    <row r="70" spans="2:4" x14ac:dyDescent="0.25">
      <c r="B70">
        <v>24</v>
      </c>
      <c r="C70">
        <v>2017</v>
      </c>
      <c r="D70">
        <v>100</v>
      </c>
    </row>
    <row r="71" spans="2:4" x14ac:dyDescent="0.25">
      <c r="B71">
        <v>24</v>
      </c>
      <c r="C71">
        <v>2017</v>
      </c>
      <c r="D71">
        <v>80</v>
      </c>
    </row>
    <row r="72" spans="2:4" x14ac:dyDescent="0.25">
      <c r="B72">
        <v>24</v>
      </c>
      <c r="C72">
        <v>2017</v>
      </c>
      <c r="D72">
        <v>40</v>
      </c>
    </row>
    <row r="73" spans="2:4" x14ac:dyDescent="0.25">
      <c r="B73">
        <v>24</v>
      </c>
      <c r="C73">
        <v>2017</v>
      </c>
      <c r="D73">
        <v>71</v>
      </c>
    </row>
    <row r="74" spans="2:4" x14ac:dyDescent="0.25">
      <c r="B74">
        <v>24</v>
      </c>
      <c r="C74">
        <v>2017</v>
      </c>
      <c r="D74">
        <v>70</v>
      </c>
    </row>
    <row r="75" spans="2:4" x14ac:dyDescent="0.25">
      <c r="B75">
        <v>36</v>
      </c>
      <c r="C75">
        <v>2017</v>
      </c>
      <c r="D75">
        <v>80</v>
      </c>
    </row>
    <row r="76" spans="2:4" x14ac:dyDescent="0.25">
      <c r="B76">
        <v>36</v>
      </c>
      <c r="C76">
        <v>2017</v>
      </c>
      <c r="D76">
        <v>50</v>
      </c>
    </row>
    <row r="77" spans="2:4" x14ac:dyDescent="0.25">
      <c r="B77">
        <v>36</v>
      </c>
      <c r="C77">
        <v>2017</v>
      </c>
      <c r="D77">
        <v>41</v>
      </c>
    </row>
    <row r="78" spans="2:4" x14ac:dyDescent="0.25">
      <c r="B78">
        <v>48</v>
      </c>
      <c r="C78">
        <v>2017</v>
      </c>
      <c r="D78">
        <v>5</v>
      </c>
    </row>
    <row r="79" spans="2:4" x14ac:dyDescent="0.25">
      <c r="B79">
        <v>48</v>
      </c>
      <c r="C79">
        <v>2017</v>
      </c>
      <c r="D79">
        <v>4</v>
      </c>
    </row>
    <row r="80" spans="2:4" x14ac:dyDescent="0.25">
      <c r="B80">
        <v>12</v>
      </c>
      <c r="C80">
        <v>2018</v>
      </c>
      <c r="D80">
        <v>80</v>
      </c>
    </row>
    <row r="81" spans="2:4" x14ac:dyDescent="0.25">
      <c r="B81">
        <v>12</v>
      </c>
      <c r="C81">
        <v>2018</v>
      </c>
      <c r="D81">
        <v>75</v>
      </c>
    </row>
    <row r="82" spans="2:4" x14ac:dyDescent="0.25">
      <c r="B82">
        <v>12</v>
      </c>
      <c r="C82">
        <v>2018</v>
      </c>
      <c r="D82">
        <v>70</v>
      </c>
    </row>
    <row r="83" spans="2:4" x14ac:dyDescent="0.25">
      <c r="B83">
        <v>12</v>
      </c>
      <c r="C83">
        <v>2018</v>
      </c>
      <c r="D83">
        <v>90</v>
      </c>
    </row>
    <row r="84" spans="2:4" x14ac:dyDescent="0.25">
      <c r="B84">
        <v>12</v>
      </c>
      <c r="C84">
        <v>2018</v>
      </c>
      <c r="D84">
        <v>82</v>
      </c>
    </row>
    <row r="85" spans="2:4" x14ac:dyDescent="0.25">
      <c r="B85">
        <v>24</v>
      </c>
      <c r="C85">
        <v>2018</v>
      </c>
      <c r="D85">
        <v>120</v>
      </c>
    </row>
    <row r="86" spans="2:4" x14ac:dyDescent="0.25">
      <c r="B86">
        <v>24</v>
      </c>
      <c r="C86">
        <v>2018</v>
      </c>
      <c r="D86">
        <v>80</v>
      </c>
    </row>
    <row r="87" spans="2:4" x14ac:dyDescent="0.25">
      <c r="B87">
        <v>24</v>
      </c>
      <c r="C87">
        <v>2018</v>
      </c>
      <c r="D87">
        <v>30</v>
      </c>
    </row>
    <row r="88" spans="2:4" x14ac:dyDescent="0.25">
      <c r="B88">
        <v>24</v>
      </c>
      <c r="C88">
        <v>2018</v>
      </c>
      <c r="D88">
        <v>60</v>
      </c>
    </row>
    <row r="89" spans="2:4" x14ac:dyDescent="0.25">
      <c r="B89">
        <v>24</v>
      </c>
      <c r="C89">
        <v>2018</v>
      </c>
      <c r="D89">
        <v>63</v>
      </c>
    </row>
    <row r="90" spans="2:4" x14ac:dyDescent="0.25">
      <c r="B90">
        <v>36</v>
      </c>
      <c r="C90">
        <v>2018</v>
      </c>
      <c r="D90">
        <v>70</v>
      </c>
    </row>
    <row r="91" spans="2:4" x14ac:dyDescent="0.25">
      <c r="B91">
        <v>36</v>
      </c>
      <c r="C91">
        <v>2018</v>
      </c>
      <c r="D91">
        <v>52</v>
      </c>
    </row>
    <row r="92" spans="2:4" x14ac:dyDescent="0.25">
      <c r="B92">
        <v>36</v>
      </c>
      <c r="C92">
        <v>2018</v>
      </c>
      <c r="D92">
        <v>50</v>
      </c>
    </row>
    <row r="93" spans="2:4" x14ac:dyDescent="0.25">
      <c r="B93">
        <v>12</v>
      </c>
      <c r="C93">
        <v>2019</v>
      </c>
      <c r="D93">
        <v>90</v>
      </c>
    </row>
    <row r="94" spans="2:4" x14ac:dyDescent="0.25">
      <c r="B94">
        <v>12</v>
      </c>
      <c r="C94">
        <v>2019</v>
      </c>
      <c r="D94">
        <v>85</v>
      </c>
    </row>
    <row r="95" spans="2:4" x14ac:dyDescent="0.25">
      <c r="B95">
        <v>12</v>
      </c>
      <c r="C95">
        <v>2019</v>
      </c>
      <c r="D95">
        <v>80</v>
      </c>
    </row>
    <row r="96" spans="2:4" x14ac:dyDescent="0.25">
      <c r="B96">
        <v>12</v>
      </c>
      <c r="C96">
        <v>2019</v>
      </c>
      <c r="D96">
        <v>70</v>
      </c>
    </row>
    <row r="97" spans="2:4" x14ac:dyDescent="0.25">
      <c r="B97">
        <v>12</v>
      </c>
      <c r="C97">
        <v>2019</v>
      </c>
      <c r="D97">
        <v>97</v>
      </c>
    </row>
    <row r="98" spans="2:4" x14ac:dyDescent="0.25">
      <c r="B98">
        <v>24</v>
      </c>
      <c r="C98">
        <v>2019</v>
      </c>
      <c r="D98">
        <v>100</v>
      </c>
    </row>
    <row r="99" spans="2:4" x14ac:dyDescent="0.25">
      <c r="B99">
        <v>24</v>
      </c>
      <c r="C99">
        <v>2019</v>
      </c>
      <c r="D99">
        <v>80</v>
      </c>
    </row>
    <row r="100" spans="2:4" x14ac:dyDescent="0.25">
      <c r="B100">
        <v>24</v>
      </c>
      <c r="C100">
        <v>2019</v>
      </c>
      <c r="D100">
        <v>40</v>
      </c>
    </row>
    <row r="101" spans="2:4" x14ac:dyDescent="0.25">
      <c r="B101">
        <v>24</v>
      </c>
      <c r="C101">
        <v>2019</v>
      </c>
      <c r="D101">
        <v>60</v>
      </c>
    </row>
    <row r="102" spans="2:4" x14ac:dyDescent="0.25">
      <c r="B102">
        <v>24</v>
      </c>
      <c r="C102">
        <v>2019</v>
      </c>
      <c r="D102">
        <v>60</v>
      </c>
    </row>
    <row r="103" spans="2:4" x14ac:dyDescent="0.25">
      <c r="B103">
        <v>12</v>
      </c>
      <c r="C103">
        <v>2020</v>
      </c>
      <c r="D103">
        <v>80</v>
      </c>
    </row>
    <row r="104" spans="2:4" x14ac:dyDescent="0.25">
      <c r="B104">
        <v>12</v>
      </c>
      <c r="C104">
        <v>2020</v>
      </c>
      <c r="D104">
        <v>75</v>
      </c>
    </row>
    <row r="105" spans="2:4" x14ac:dyDescent="0.25">
      <c r="B105">
        <v>12</v>
      </c>
      <c r="C105">
        <v>2020</v>
      </c>
      <c r="D105">
        <v>60</v>
      </c>
    </row>
    <row r="106" spans="2:4" x14ac:dyDescent="0.25">
      <c r="B106">
        <v>12</v>
      </c>
      <c r="C106">
        <v>2020</v>
      </c>
      <c r="D106">
        <v>70</v>
      </c>
    </row>
    <row r="107" spans="2:4" x14ac:dyDescent="0.25">
      <c r="B107">
        <v>12</v>
      </c>
      <c r="C107">
        <v>2020</v>
      </c>
      <c r="D107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E849-5427-4871-8EC0-753EB1F9E87E}">
  <dimension ref="A3:G5"/>
  <sheetViews>
    <sheetView workbookViewId="0">
      <selection activeCell="A6" sqref="A6"/>
    </sheetView>
  </sheetViews>
  <sheetFormatPr defaultRowHeight="15" x14ac:dyDescent="0.25"/>
  <sheetData>
    <row r="3" spans="1:7" x14ac:dyDescent="0.25">
      <c r="B3" t="s">
        <v>39</v>
      </c>
      <c r="E3" t="s">
        <v>40</v>
      </c>
    </row>
    <row r="4" spans="1:7" x14ac:dyDescent="0.25">
      <c r="A4" s="11" t="s">
        <v>41</v>
      </c>
      <c r="B4" s="49" t="s">
        <v>15</v>
      </c>
      <c r="C4" s="50"/>
      <c r="D4" s="51"/>
      <c r="E4" s="49" t="s">
        <v>15</v>
      </c>
      <c r="F4" s="50"/>
      <c r="G4" s="51"/>
    </row>
    <row r="5" spans="1:7" x14ac:dyDescent="0.25">
      <c r="A5" s="12">
        <v>2020</v>
      </c>
      <c r="B5" s="52">
        <f ca="1">'CL_Basic Method'!J17</f>
        <v>513.10934052169569</v>
      </c>
      <c r="C5" s="53"/>
      <c r="D5" s="54"/>
      <c r="E5" s="52">
        <f>'CL_Expected Method'!J20</f>
        <v>723.06</v>
      </c>
      <c r="F5" s="53"/>
      <c r="G5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8813-F57D-4C98-89DF-984099078C0C}">
  <dimension ref="B2:L50"/>
  <sheetViews>
    <sheetView tabSelected="1" workbookViewId="0">
      <selection activeCell="G19" sqref="G19"/>
    </sheetView>
  </sheetViews>
  <sheetFormatPr defaultRowHeight="15" x14ac:dyDescent="0.25"/>
  <cols>
    <col min="1" max="1" width="9.140625" style="25"/>
    <col min="2" max="2" width="13.5703125" style="25" bestFit="1" customWidth="1"/>
    <col min="3" max="3" width="14.7109375" style="25" bestFit="1" customWidth="1"/>
    <col min="4" max="4" width="9.140625" style="25"/>
    <col min="5" max="5" width="11" style="25" customWidth="1"/>
    <col min="6" max="6" width="12.140625" style="25" customWidth="1"/>
    <col min="7" max="7" width="11.5703125" style="25" customWidth="1"/>
    <col min="8" max="8" width="9.140625" style="25"/>
    <col min="9" max="9" width="14.7109375" style="25" bestFit="1" customWidth="1"/>
    <col min="10" max="10" width="16.28515625" style="25" customWidth="1"/>
    <col min="11" max="11" width="11.28515625" style="25" bestFit="1" customWidth="1"/>
    <col min="12" max="17" width="9.140625" style="25"/>
    <col min="18" max="18" width="13.140625" style="25" bestFit="1" customWidth="1"/>
    <col min="19" max="19" width="15.85546875" style="25" bestFit="1" customWidth="1"/>
    <col min="20" max="16384" width="9.140625" style="25"/>
  </cols>
  <sheetData>
    <row r="2" spans="2:12" x14ac:dyDescent="0.25">
      <c r="B2" t="s">
        <v>26</v>
      </c>
    </row>
    <row r="4" spans="2:12" x14ac:dyDescent="0.25">
      <c r="B4" s="47" t="s">
        <v>27</v>
      </c>
    </row>
    <row r="5" spans="2:12" x14ac:dyDescent="0.25">
      <c r="B5" s="47"/>
    </row>
    <row r="6" spans="2:12" x14ac:dyDescent="0.25">
      <c r="B6" s="47" t="s">
        <v>28</v>
      </c>
    </row>
    <row r="7" spans="2:12" x14ac:dyDescent="0.25">
      <c r="B7" s="47"/>
    </row>
    <row r="8" spans="2:12" x14ac:dyDescent="0.25">
      <c r="B8" s="47" t="s">
        <v>29</v>
      </c>
    </row>
    <row r="10" spans="2:12" x14ac:dyDescent="0.25">
      <c r="B10" s="47" t="s">
        <v>30</v>
      </c>
    </row>
    <row r="12" spans="2:12" x14ac:dyDescent="0.25">
      <c r="B12" s="40" t="s">
        <v>2</v>
      </c>
      <c r="C12" s="41"/>
      <c r="D12" s="41"/>
      <c r="E12" s="41"/>
      <c r="F12" s="41"/>
      <c r="G12" s="41"/>
      <c r="H12" s="41"/>
      <c r="I12" s="42"/>
    </row>
    <row r="13" spans="2:12" x14ac:dyDescent="0.25">
      <c r="B13" s="23" t="s">
        <v>0</v>
      </c>
      <c r="C13" s="8">
        <v>12</v>
      </c>
      <c r="D13" s="8">
        <v>24</v>
      </c>
      <c r="E13" s="8">
        <v>36</v>
      </c>
      <c r="F13" s="8">
        <v>48</v>
      </c>
      <c r="G13" s="8">
        <v>60</v>
      </c>
      <c r="H13" s="8">
        <v>72</v>
      </c>
      <c r="I13" s="9">
        <v>84</v>
      </c>
      <c r="K13" s="23" t="s">
        <v>16</v>
      </c>
    </row>
    <row r="14" spans="2:12" x14ac:dyDescent="0.25">
      <c r="B14" s="6">
        <v>2014</v>
      </c>
      <c r="C14" s="25">
        <f>SUMIFS(Input!$E$6:$E$24,Input!$C$6:$C$24,"="&amp;C13,Input!$D$6:$D$24,"="&amp;$B14)</f>
        <v>382</v>
      </c>
      <c r="D14" s="25">
        <f>SUMIFS(Input!$E$6:$E$24,Input!$C$6:$C$24,"="&amp;D$13,Input!$D$6:$D$24,"="&amp;$B14)+C14</f>
        <v>730</v>
      </c>
      <c r="E14" s="25">
        <f>SUMIFS(Input!$E$6:$E$24,Input!$C$6:$C$24,"="&amp;E$13,Input!$D$6:$D$24,"="&amp;$B14)+D14</f>
        <v>890</v>
      </c>
      <c r="F14" s="25">
        <f>SUMIFS(Input!$E$6:$E$24,Input!$C$6:$C$24,"="&amp;F$13,Input!$D$6:$D$24,"="&amp;$B14)+E14</f>
        <v>920</v>
      </c>
      <c r="G14" s="25">
        <f>SUMIFS(Input!$E$6:$E$24,Input!$C$6:$C$24,"="&amp;G$13,Input!$D$6:$D$24,"="&amp;$B14)+F14</f>
        <v>929</v>
      </c>
      <c r="H14" s="25">
        <f>SUMIFS(Input!$E$6:$E$24,Input!$C$6:$C$24,"="&amp;H$13,Input!$D$6:$D$24,"="&amp;$B14)+G14</f>
        <v>930</v>
      </c>
      <c r="I14" s="27">
        <f>SUMIFS(Input!$E$6:$E$24,Input!$C$6:$C$24,"="&amp;I$13,Input!$D$6:$D$24,"="&amp;$B14)+H14</f>
        <v>930</v>
      </c>
      <c r="K14" s="6">
        <v>1431</v>
      </c>
    </row>
    <row r="15" spans="2:12" x14ac:dyDescent="0.25">
      <c r="B15" s="6">
        <v>2015</v>
      </c>
      <c r="C15" s="25">
        <v>375</v>
      </c>
      <c r="D15" s="25">
        <v>745</v>
      </c>
      <c r="E15" s="25">
        <v>906</v>
      </c>
      <c r="F15" s="25">
        <v>916</v>
      </c>
      <c r="G15" s="25">
        <v>930</v>
      </c>
      <c r="H15" s="25">
        <v>933</v>
      </c>
      <c r="I15" s="28"/>
      <c r="K15" s="6">
        <v>1435</v>
      </c>
      <c r="L15" s="39">
        <f>(K15/K14)-1</f>
        <v>2.7952480782669209E-3</v>
      </c>
    </row>
    <row r="16" spans="2:12" x14ac:dyDescent="0.25">
      <c r="B16" s="6">
        <v>2016</v>
      </c>
      <c r="C16" s="25">
        <v>385</v>
      </c>
      <c r="D16" s="25">
        <v>755</v>
      </c>
      <c r="E16" s="25">
        <v>911</v>
      </c>
      <c r="F16" s="25">
        <v>925</v>
      </c>
      <c r="G16" s="25">
        <v>929</v>
      </c>
      <c r="H16" s="25" t="s">
        <v>1</v>
      </c>
      <c r="I16" s="28"/>
      <c r="K16" s="6">
        <v>1432</v>
      </c>
      <c r="L16" s="39">
        <f t="shared" ref="L16:L20" si="0">(K16/K15)-1</f>
        <v>-2.090592334494823E-3</v>
      </c>
    </row>
    <row r="17" spans="2:12" x14ac:dyDescent="0.25">
      <c r="B17" s="6">
        <v>2017</v>
      </c>
      <c r="C17" s="25">
        <v>399</v>
      </c>
      <c r="D17" s="25">
        <v>760</v>
      </c>
      <c r="E17" s="25">
        <v>931</v>
      </c>
      <c r="F17" s="25">
        <v>940</v>
      </c>
      <c r="G17" s="25" t="s">
        <v>1</v>
      </c>
      <c r="H17" s="25" t="s">
        <v>1</v>
      </c>
      <c r="I17" s="28"/>
      <c r="K17" s="6">
        <v>1464</v>
      </c>
      <c r="L17" s="39">
        <f t="shared" si="0"/>
        <v>2.2346368715083775E-2</v>
      </c>
    </row>
    <row r="18" spans="2:12" x14ac:dyDescent="0.25">
      <c r="B18" s="6">
        <v>2018</v>
      </c>
      <c r="C18" s="25">
        <v>397</v>
      </c>
      <c r="D18" s="25">
        <v>750</v>
      </c>
      <c r="E18" s="25">
        <v>922</v>
      </c>
      <c r="F18" s="25" t="s">
        <v>1</v>
      </c>
      <c r="G18" s="25" t="s">
        <v>1</v>
      </c>
      <c r="H18" s="25" t="s">
        <v>1</v>
      </c>
      <c r="I18" s="28"/>
      <c r="K18" s="6">
        <v>1453</v>
      </c>
      <c r="L18" s="39">
        <f t="shared" si="0"/>
        <v>-7.5136612021857729E-3</v>
      </c>
    </row>
    <row r="19" spans="2:12" x14ac:dyDescent="0.25">
      <c r="B19" s="6">
        <v>2019</v>
      </c>
      <c r="C19" s="25">
        <v>422</v>
      </c>
      <c r="D19" s="29">
        <v>801</v>
      </c>
      <c r="E19" s="25" t="s">
        <v>1</v>
      </c>
      <c r="F19" s="25" t="s">
        <v>1</v>
      </c>
      <c r="G19" s="25" t="s">
        <v>1</v>
      </c>
      <c r="H19" s="25" t="s">
        <v>1</v>
      </c>
      <c r="I19" s="28"/>
      <c r="J19" s="25" t="s">
        <v>15</v>
      </c>
      <c r="K19" s="6">
        <v>1820</v>
      </c>
      <c r="L19" s="39">
        <f t="shared" si="0"/>
        <v>0.25258086717136963</v>
      </c>
    </row>
    <row r="20" spans="2:12" x14ac:dyDescent="0.25">
      <c r="B20" s="7">
        <v>2020</v>
      </c>
      <c r="C20" s="30">
        <v>432</v>
      </c>
      <c r="D20" s="31" t="s">
        <v>1</v>
      </c>
      <c r="E20" s="31" t="s">
        <v>1</v>
      </c>
      <c r="F20" s="31" t="s">
        <v>1</v>
      </c>
      <c r="G20" s="31" t="s">
        <v>1</v>
      </c>
      <c r="H20" s="31" t="s">
        <v>1</v>
      </c>
      <c r="I20" s="32">
        <f>G50</f>
        <v>1155.06</v>
      </c>
      <c r="J20" s="48">
        <f>I20-C20</f>
        <v>723.06</v>
      </c>
      <c r="K20" s="12">
        <v>1863</v>
      </c>
      <c r="L20" s="39">
        <f t="shared" si="0"/>
        <v>2.3626373626373542E-2</v>
      </c>
    </row>
    <row r="25" spans="2:12" x14ac:dyDescent="0.25">
      <c r="B25" s="40" t="s">
        <v>3</v>
      </c>
      <c r="C25" s="41"/>
      <c r="D25" s="41"/>
      <c r="E25" s="41"/>
      <c r="F25" s="41"/>
      <c r="G25" s="41"/>
      <c r="H25" s="41"/>
      <c r="I25" s="42"/>
    </row>
    <row r="26" spans="2:12" x14ac:dyDescent="0.25">
      <c r="B26" s="23" t="s">
        <v>0</v>
      </c>
      <c r="C26" s="10" t="str">
        <f>C13&amp;" - "&amp;D13</f>
        <v>12 - 24</v>
      </c>
      <c r="D26" s="8" t="str">
        <f t="shared" ref="D26:H26" si="1">D13&amp;" - "&amp;E13</f>
        <v>24 - 36</v>
      </c>
      <c r="E26" s="8" t="str">
        <f t="shared" si="1"/>
        <v>36 - 48</v>
      </c>
      <c r="F26" s="8" t="str">
        <f t="shared" si="1"/>
        <v>48 - 60</v>
      </c>
      <c r="G26" s="8" t="str">
        <f t="shared" si="1"/>
        <v>60 - 72</v>
      </c>
      <c r="H26" s="8" t="str">
        <f t="shared" si="1"/>
        <v>72 - 84</v>
      </c>
      <c r="I26" s="9" t="str">
        <f>I13&amp;" - "&amp;"Ult"</f>
        <v>84 - Ult</v>
      </c>
      <c r="K26" s="23" t="s">
        <v>21</v>
      </c>
    </row>
    <row r="27" spans="2:12" x14ac:dyDescent="0.25">
      <c r="B27" s="6">
        <v>2014</v>
      </c>
      <c r="C27" s="33">
        <f>IFERROR(D14/C14,"")</f>
        <v>1.9109947643979057</v>
      </c>
      <c r="D27" s="26">
        <f t="shared" ref="D27:I27" si="2">IFERROR(E14/D14,"")</f>
        <v>1.2191780821917808</v>
      </c>
      <c r="E27" s="26">
        <f t="shared" si="2"/>
        <v>1.0337078651685394</v>
      </c>
      <c r="F27" s="26">
        <f t="shared" si="2"/>
        <v>1.0097826086956523</v>
      </c>
      <c r="G27" s="26">
        <f t="shared" si="2"/>
        <v>1.0010764262648009</v>
      </c>
      <c r="H27" s="26">
        <f t="shared" si="2"/>
        <v>1</v>
      </c>
      <c r="I27" s="27">
        <f t="shared" si="2"/>
        <v>0</v>
      </c>
      <c r="K27" s="44">
        <v>0.01</v>
      </c>
    </row>
    <row r="28" spans="2:12" x14ac:dyDescent="0.25">
      <c r="B28" s="6">
        <v>2015</v>
      </c>
      <c r="C28" s="34">
        <f t="shared" ref="C28:I33" si="3">IFERROR(D15/C15,"")</f>
        <v>1.9866666666666666</v>
      </c>
      <c r="D28" s="25">
        <f t="shared" si="3"/>
        <v>1.2161073825503357</v>
      </c>
      <c r="E28" s="25">
        <f t="shared" si="3"/>
        <v>1.011037527593819</v>
      </c>
      <c r="F28" s="25">
        <f t="shared" si="3"/>
        <v>1.0152838427947599</v>
      </c>
      <c r="G28" s="25">
        <f t="shared" si="3"/>
        <v>1.0032258064516129</v>
      </c>
      <c r="H28" s="25">
        <f t="shared" si="3"/>
        <v>0</v>
      </c>
      <c r="I28" s="28" t="str">
        <f t="shared" si="3"/>
        <v/>
      </c>
    </row>
    <row r="29" spans="2:12" x14ac:dyDescent="0.25">
      <c r="B29" s="6">
        <v>2016</v>
      </c>
      <c r="C29" s="34">
        <f t="shared" si="3"/>
        <v>1.9610389610389611</v>
      </c>
      <c r="D29" s="25">
        <f t="shared" si="3"/>
        <v>1.2066225165562914</v>
      </c>
      <c r="E29" s="25">
        <f t="shared" si="3"/>
        <v>1.0153677277716795</v>
      </c>
      <c r="F29" s="25">
        <f t="shared" si="3"/>
        <v>1.0043243243243243</v>
      </c>
      <c r="G29" s="25" t="str">
        <f t="shared" si="3"/>
        <v/>
      </c>
      <c r="H29" s="25" t="str">
        <f t="shared" si="3"/>
        <v/>
      </c>
      <c r="I29" s="28" t="str">
        <f t="shared" si="3"/>
        <v/>
      </c>
      <c r="K29" s="23" t="s">
        <v>22</v>
      </c>
    </row>
    <row r="30" spans="2:12" x14ac:dyDescent="0.25">
      <c r="B30" s="6">
        <v>2017</v>
      </c>
      <c r="C30" s="34">
        <f t="shared" si="3"/>
        <v>1.9047619047619047</v>
      </c>
      <c r="D30" s="25">
        <f t="shared" si="3"/>
        <v>1.2250000000000001</v>
      </c>
      <c r="E30" s="25">
        <f t="shared" si="3"/>
        <v>1.0096670247046187</v>
      </c>
      <c r="F30" s="25" t="str">
        <f t="shared" si="3"/>
        <v/>
      </c>
      <c r="G30" s="25" t="str">
        <f t="shared" si="3"/>
        <v/>
      </c>
      <c r="H30" s="25" t="str">
        <f t="shared" si="3"/>
        <v/>
      </c>
      <c r="I30" s="28" t="str">
        <f t="shared" si="3"/>
        <v/>
      </c>
      <c r="K30" s="43">
        <v>2.5000000000000001E-2</v>
      </c>
    </row>
    <row r="31" spans="2:12" x14ac:dyDescent="0.25">
      <c r="B31" s="6">
        <v>2018</v>
      </c>
      <c r="C31" s="34">
        <f t="shared" si="3"/>
        <v>1.8891687657430731</v>
      </c>
      <c r="D31" s="25">
        <f t="shared" si="3"/>
        <v>1.2293333333333334</v>
      </c>
      <c r="E31" s="25" t="str">
        <f t="shared" si="3"/>
        <v/>
      </c>
      <c r="F31" s="25" t="str">
        <f t="shared" si="3"/>
        <v/>
      </c>
      <c r="G31" s="25" t="str">
        <f t="shared" si="3"/>
        <v/>
      </c>
      <c r="H31" s="25" t="str">
        <f t="shared" si="3"/>
        <v/>
      </c>
      <c r="I31" s="28" t="str">
        <f t="shared" si="3"/>
        <v/>
      </c>
    </row>
    <row r="32" spans="2:12" x14ac:dyDescent="0.25">
      <c r="B32" s="6">
        <v>2019</v>
      </c>
      <c r="C32" s="34">
        <f t="shared" si="3"/>
        <v>1.8981042654028435</v>
      </c>
      <c r="D32" s="25" t="str">
        <f t="shared" si="3"/>
        <v/>
      </c>
      <c r="E32" s="25" t="str">
        <f t="shared" si="3"/>
        <v/>
      </c>
      <c r="F32" s="25" t="str">
        <f t="shared" si="3"/>
        <v/>
      </c>
      <c r="G32" s="25" t="str">
        <f t="shared" si="3"/>
        <v/>
      </c>
      <c r="H32" s="25" t="str">
        <f t="shared" si="3"/>
        <v/>
      </c>
      <c r="I32" s="28" t="str">
        <f t="shared" si="3"/>
        <v/>
      </c>
    </row>
    <row r="33" spans="2:10" x14ac:dyDescent="0.25">
      <c r="B33" s="7">
        <v>2020</v>
      </c>
      <c r="C33" s="35" t="str">
        <f t="shared" si="3"/>
        <v/>
      </c>
      <c r="D33" s="31" t="str">
        <f t="shared" si="3"/>
        <v/>
      </c>
      <c r="E33" s="31" t="str">
        <f t="shared" si="3"/>
        <v/>
      </c>
      <c r="F33" s="31" t="str">
        <f t="shared" si="3"/>
        <v/>
      </c>
      <c r="G33" s="31" t="str">
        <f t="shared" si="3"/>
        <v/>
      </c>
      <c r="H33" s="31" t="str">
        <f t="shared" si="3"/>
        <v/>
      </c>
      <c r="I33" s="36"/>
    </row>
    <row r="36" spans="2:10" x14ac:dyDescent="0.25">
      <c r="B36" s="11" t="s">
        <v>4</v>
      </c>
      <c r="C36" s="33">
        <f ca="1">AVERAGE(OFFSET(C27,COUNT(C28:C33),0,-3,1))</f>
        <v>1.8973449786359404</v>
      </c>
      <c r="D36" s="33">
        <f ca="1">AVERAGE(OFFSET(D27,COUNT(D28:D33),0,-3,1))</f>
        <v>1.220318616629875</v>
      </c>
      <c r="E36" s="33">
        <f ca="1">AVERAGE(OFFSET(E27,COUNT(E28:E33),0,-3,1))</f>
        <v>1.0120240933567057</v>
      </c>
      <c r="F36" s="33">
        <f ca="1">AVERAGE(OFFSET(F27,COUNT(F28:F33),0,-3,1))</f>
        <v>1.0097969252715788</v>
      </c>
      <c r="G36" s="26">
        <f>AVERAGE(G27:G28)</f>
        <v>1.0021511163582069</v>
      </c>
      <c r="H36" s="26">
        <f>H27</f>
        <v>1</v>
      </c>
      <c r="I36" s="27"/>
    </row>
    <row r="37" spans="2:10" x14ac:dyDescent="0.25">
      <c r="B37" s="12" t="s">
        <v>5</v>
      </c>
      <c r="C37" s="35">
        <f ca="1">SUM(OFFSET(D13,COUNT(D14:D20),0,-3,1))/SUM(OFFSET(C13,COUNT(C14:C20)-1,0,-3,1))</f>
        <v>1.8973727422003284</v>
      </c>
      <c r="D37" s="35">
        <f ca="1">SUM(OFFSET(E13,COUNT(E14:E20),0,-3,1))/SUM(OFFSET(D13,COUNT(D14:D20)-1,0,-3,1))</f>
        <v>1.2203090507726269</v>
      </c>
      <c r="E37" s="35">
        <f ca="1">SUM(OFFSET(F13,COUNT(F14:F20),0,-3,1))/SUM(OFFSET(E13,COUNT(E14:E20)-1,0,-3,1))</f>
        <v>1.0120087336244541</v>
      </c>
      <c r="F37" s="35">
        <f ca="1">SUM(OFFSET(G13,COUNT(G14:G20),0,-3,1))/SUM(OFFSET(F13,COUNT(F14:F20)-1,0,-3,1))</f>
        <v>1.009779065555958</v>
      </c>
      <c r="G37" s="31">
        <f>SUM(H14:H15)/SUM(G14:G15)</f>
        <v>1.0021516944593867</v>
      </c>
      <c r="H37" s="31">
        <f>SUM(I14)/SUM(H14)</f>
        <v>1</v>
      </c>
      <c r="I37" s="36"/>
    </row>
    <row r="39" spans="2:10" x14ac:dyDescent="0.25">
      <c r="B39" s="11" t="s">
        <v>11</v>
      </c>
      <c r="C39" s="26">
        <f ca="1">C36</f>
        <v>1.8973449786359404</v>
      </c>
      <c r="D39" s="26">
        <f ca="1">D36</f>
        <v>1.220318616629875</v>
      </c>
      <c r="E39" s="26">
        <f ca="1">E36</f>
        <v>1.0120240933567057</v>
      </c>
      <c r="F39" s="26">
        <f ca="1">F36</f>
        <v>1.0097969252715788</v>
      </c>
      <c r="G39" s="26">
        <f t="shared" ref="G39:H39" si="4">G36</f>
        <v>1.0021511163582069</v>
      </c>
      <c r="H39" s="26">
        <f t="shared" si="4"/>
        <v>1</v>
      </c>
      <c r="I39" s="27"/>
    </row>
    <row r="40" spans="2:10" x14ac:dyDescent="0.25">
      <c r="B40" s="6"/>
      <c r="C40" s="37" t="str">
        <f>C13&amp;"-"&amp;"Ult"</f>
        <v>12-Ult</v>
      </c>
      <c r="D40" s="37" t="str">
        <f t="shared" ref="D40:H40" si="5">D13&amp;"-"&amp;"Ult"</f>
        <v>24-Ult</v>
      </c>
      <c r="E40" s="37" t="str">
        <f t="shared" si="5"/>
        <v>36-Ult</v>
      </c>
      <c r="F40" s="37" t="str">
        <f t="shared" si="5"/>
        <v>48-Ult</v>
      </c>
      <c r="G40" s="37" t="str">
        <f t="shared" si="5"/>
        <v>60-Ult</v>
      </c>
      <c r="H40" s="37" t="str">
        <f t="shared" si="5"/>
        <v>72-Ult</v>
      </c>
      <c r="I40" s="28"/>
    </row>
    <row r="41" spans="2:10" x14ac:dyDescent="0.25">
      <c r="B41" s="12" t="s">
        <v>12</v>
      </c>
      <c r="C41" s="31">
        <f ca="1">D41*C39</f>
        <v>2.371251668486221</v>
      </c>
      <c r="D41" s="31">
        <f ca="1">E41*D39</f>
        <v>1.2497736021579937</v>
      </c>
      <c r="E41" s="31">
        <f ca="1">F41*E39</f>
        <v>1.0241371270803554</v>
      </c>
      <c r="F41" s="31">
        <f ca="1">G41*F39</f>
        <v>1.0119691159559976</v>
      </c>
      <c r="G41" s="31">
        <f>H41*G39</f>
        <v>1.0021511163582069</v>
      </c>
      <c r="H41" s="31">
        <f>H39</f>
        <v>1</v>
      </c>
      <c r="I41" s="36"/>
    </row>
    <row r="43" spans="2:10" ht="30" x14ac:dyDescent="0.25">
      <c r="B43" s="23" t="s">
        <v>13</v>
      </c>
      <c r="C43" s="24" t="s">
        <v>17</v>
      </c>
      <c r="D43" s="23" t="s">
        <v>12</v>
      </c>
      <c r="E43" s="24" t="s">
        <v>18</v>
      </c>
      <c r="F43" s="24" t="s">
        <v>19</v>
      </c>
      <c r="G43" s="24" t="s">
        <v>20</v>
      </c>
    </row>
    <row r="44" spans="2:10" x14ac:dyDescent="0.25">
      <c r="B44" s="6">
        <f>B14</f>
        <v>2014</v>
      </c>
      <c r="C44" s="38">
        <f t="shared" ref="C44:C49" ca="1" si="6">OFFSET(B14,0,COUNT(C14:I14),1,1)</f>
        <v>930</v>
      </c>
      <c r="D44" s="23">
        <f>1</f>
        <v>1</v>
      </c>
      <c r="E44" s="38">
        <f t="shared" ref="E44:E50" ca="1" si="7">PRODUCT(C44,D44)</f>
        <v>930</v>
      </c>
      <c r="F44" s="45">
        <f ca="1">(E44/K14)*((1+$K$27)/(1+$K$30))^($B$50-B44)</f>
        <v>0.59487862619564214</v>
      </c>
      <c r="G44" s="23"/>
      <c r="I44" s="11" t="s">
        <v>23</v>
      </c>
      <c r="J44" s="43">
        <v>0.62</v>
      </c>
    </row>
    <row r="45" spans="2:10" x14ac:dyDescent="0.25">
      <c r="B45" s="6">
        <f t="shared" ref="B45:B50" si="8">B15</f>
        <v>2015</v>
      </c>
      <c r="C45" s="38">
        <f t="shared" ca="1" si="6"/>
        <v>933</v>
      </c>
      <c r="D45" s="23">
        <f>H$41</f>
        <v>1</v>
      </c>
      <c r="E45" s="38">
        <f t="shared" ca="1" si="7"/>
        <v>933</v>
      </c>
      <c r="F45" s="45">
        <f ca="1">(E45/K15)*((1+$K$27)/(1+$K$30))^($B$50-B45)</f>
        <v>0.60397266660750737</v>
      </c>
      <c r="G45" s="23"/>
      <c r="I45" s="12" t="s">
        <v>24</v>
      </c>
      <c r="J45" s="43">
        <f>J44*((1+K30)/(1+K27))</f>
        <v>0.62920792079207921</v>
      </c>
    </row>
    <row r="46" spans="2:10" x14ac:dyDescent="0.25">
      <c r="B46" s="6">
        <f t="shared" si="8"/>
        <v>2016</v>
      </c>
      <c r="C46" s="38">
        <f t="shared" ca="1" si="6"/>
        <v>929</v>
      </c>
      <c r="D46" s="23">
        <f>G$41</f>
        <v>1.0021511163582069</v>
      </c>
      <c r="E46" s="38">
        <f t="shared" ca="1" si="7"/>
        <v>930.9983870967742</v>
      </c>
      <c r="F46" s="45">
        <f ca="1">(E46/K16)*((1+$K$27)/(1+$K$30))^($B$50-B46)</f>
        <v>0.61290892318712986</v>
      </c>
      <c r="G46" s="23"/>
    </row>
    <row r="47" spans="2:10" x14ac:dyDescent="0.25">
      <c r="B47" s="6">
        <f t="shared" si="8"/>
        <v>2017</v>
      </c>
      <c r="C47" s="38">
        <f t="shared" ca="1" si="6"/>
        <v>940</v>
      </c>
      <c r="D47" s="23">
        <f ca="1">F$41</f>
        <v>1.0119691159559976</v>
      </c>
      <c r="E47" s="38">
        <f t="shared" ca="1" si="7"/>
        <v>951.25096899863775</v>
      </c>
      <c r="F47" s="45">
        <f ca="1">(E47/K17)*((1+$K$27)/(1+$K$30))^($B$50-B47)</f>
        <v>0.62165089125025197</v>
      </c>
      <c r="G47" s="23"/>
    </row>
    <row r="48" spans="2:10" x14ac:dyDescent="0.25">
      <c r="B48" s="6">
        <f t="shared" si="8"/>
        <v>2018</v>
      </c>
      <c r="C48" s="38">
        <f t="shared" ca="1" si="6"/>
        <v>922</v>
      </c>
      <c r="D48" s="23">
        <f ca="1">E$41</f>
        <v>1.0241371270803554</v>
      </c>
      <c r="E48" s="38">
        <f t="shared" ca="1" si="7"/>
        <v>944.25443116808765</v>
      </c>
      <c r="F48" s="45">
        <f ca="1">(E48/K18)*((1+$K$27)/(1+$K$30))^($B$50-B48)</f>
        <v>0.6309841266178885</v>
      </c>
      <c r="G48" s="23"/>
    </row>
    <row r="49" spans="2:7" x14ac:dyDescent="0.25">
      <c r="B49" s="6">
        <f t="shared" si="8"/>
        <v>2019</v>
      </c>
      <c r="C49" s="38">
        <f t="shared" ca="1" si="6"/>
        <v>801</v>
      </c>
      <c r="D49" s="23">
        <f ca="1">D$41</f>
        <v>1.2497736021579937</v>
      </c>
      <c r="E49" s="38">
        <f t="shared" ca="1" si="7"/>
        <v>1001.0686553285529</v>
      </c>
      <c r="F49" s="45"/>
      <c r="G49" s="46">
        <f>J45*K19</f>
        <v>1145.1584158415842</v>
      </c>
    </row>
    <row r="50" spans="2:7" x14ac:dyDescent="0.25">
      <c r="B50" s="12">
        <f t="shared" si="8"/>
        <v>2020</v>
      </c>
      <c r="C50" s="38">
        <f>C20</f>
        <v>432</v>
      </c>
      <c r="D50" s="23">
        <f ca="1">C$41</f>
        <v>2.371251668486221</v>
      </c>
      <c r="E50" s="38">
        <f t="shared" ca="1" si="7"/>
        <v>1024.3807207860475</v>
      </c>
      <c r="F50" s="45"/>
      <c r="G50" s="46">
        <f>J44*K20</f>
        <v>1155.06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B685-A972-40F8-AF89-07DD3671ABBA}">
  <dimension ref="B2:J47"/>
  <sheetViews>
    <sheetView workbookViewId="0">
      <selection activeCell="H2" sqref="H2"/>
    </sheetView>
  </sheetViews>
  <sheetFormatPr defaultRowHeight="15" x14ac:dyDescent="0.25"/>
  <cols>
    <col min="2" max="2" width="13.5703125" bestFit="1" customWidth="1"/>
    <col min="9" max="9" width="10.5703125" bestFit="1" customWidth="1"/>
    <col min="16" max="16" width="13.140625" bestFit="1" customWidth="1"/>
    <col min="17" max="17" width="15.85546875" bestFit="1" customWidth="1"/>
  </cols>
  <sheetData>
    <row r="2" spans="2:10" x14ac:dyDescent="0.25">
      <c r="B2" t="s">
        <v>25</v>
      </c>
    </row>
    <row r="9" spans="2:10" x14ac:dyDescent="0.25">
      <c r="B9" s="56" t="s">
        <v>2</v>
      </c>
      <c r="C9" s="57"/>
      <c r="D9" s="57"/>
      <c r="E9" s="57"/>
      <c r="F9" s="57"/>
      <c r="G9" s="57"/>
      <c r="H9" s="57"/>
      <c r="I9" s="58"/>
    </row>
    <row r="10" spans="2:10" x14ac:dyDescent="0.25">
      <c r="B10" s="5" t="s">
        <v>0</v>
      </c>
      <c r="C10" s="8">
        <v>12</v>
      </c>
      <c r="D10" s="8">
        <v>24</v>
      </c>
      <c r="E10" s="8">
        <v>36</v>
      </c>
      <c r="F10" s="8">
        <v>48</v>
      </c>
      <c r="G10" s="8">
        <v>60</v>
      </c>
      <c r="H10" s="8">
        <v>72</v>
      </c>
      <c r="I10" s="9">
        <v>84</v>
      </c>
    </row>
    <row r="11" spans="2:10" x14ac:dyDescent="0.25">
      <c r="B11" s="6">
        <v>2014</v>
      </c>
      <c r="C11" s="13">
        <f>SUMIFS(Append1[Claim Size (000s)],Append1[Age],"="&amp;C$10,Append1[Accident Year],"="&amp;$B11)</f>
        <v>382</v>
      </c>
      <c r="D11" s="14">
        <f>SUMIFS(Append1[Claim Size (000s)],Append1[Age],"="&amp;D$10,Append1[Accident Year],"="&amp;$B11)+C11</f>
        <v>730</v>
      </c>
      <c r="E11" s="14">
        <f>SUMIFS(Append1[Claim Size (000s)],Append1[Age],"="&amp;E$10,Append1[Accident Year],"="&amp;$B11)+D11</f>
        <v>890</v>
      </c>
      <c r="F11" s="14">
        <f>SUMIFS(Append1[Claim Size (000s)],Append1[Age],"="&amp;F$10,Append1[Accident Year],"="&amp;$B11)+E11</f>
        <v>920</v>
      </c>
      <c r="G11" s="14">
        <f>SUMIFS(Append1[Claim Size (000s)],Append1[Age],"="&amp;G$10,Append1[Accident Year],"="&amp;$B11)+F11</f>
        <v>929</v>
      </c>
      <c r="H11" s="14">
        <f>SUMIFS(Append1[Claim Size (000s)],Append1[Age],"="&amp;H$10,Append1[Accident Year],"="&amp;$B11)+G11</f>
        <v>930</v>
      </c>
      <c r="I11" s="15">
        <f>SUMIFS(Append1[Claim Size (000s)],Append1[Age],"="&amp;I$10,Append1[Accident Year],"="&amp;$B11)+H11</f>
        <v>930</v>
      </c>
    </row>
    <row r="12" spans="2:10" x14ac:dyDescent="0.25">
      <c r="B12" s="6">
        <v>2015</v>
      </c>
      <c r="C12" s="22">
        <f>SUMIFS(Append1[Claim Size (000s)],Append1[Age],"="&amp;C$10,Append1[Accident Year],"="&amp;$B12)</f>
        <v>375</v>
      </c>
      <c r="D12">
        <f>SUMIFS(Append1[Claim Size (000s)],Append1[Age],"="&amp;D$10,Append1[Accident Year],"="&amp;$B12)+C12</f>
        <v>745</v>
      </c>
      <c r="E12">
        <f>SUMIFS(Append1[Claim Size (000s)],Append1[Age],"="&amp;E$10,Append1[Accident Year],"="&amp;$B12)+D12</f>
        <v>906</v>
      </c>
      <c r="F12">
        <f>SUMIFS(Append1[Claim Size (000s)],Append1[Age],"="&amp;F$10,Append1[Accident Year],"="&amp;$B12)+E12</f>
        <v>916</v>
      </c>
      <c r="G12">
        <f>SUMIFS(Append1[Claim Size (000s)],Append1[Age],"="&amp;G$10,Append1[Accident Year],"="&amp;$B12)+F12</f>
        <v>930</v>
      </c>
      <c r="H12">
        <f>SUMIFS(Append1[Claim Size (000s)],Append1[Age],"="&amp;H$10,Append1[Accident Year],"="&amp;$B12)+G12</f>
        <v>933</v>
      </c>
      <c r="I12" s="1"/>
    </row>
    <row r="13" spans="2:10" x14ac:dyDescent="0.25">
      <c r="B13" s="6">
        <v>2016</v>
      </c>
      <c r="C13" s="22">
        <f>SUMIFS(Append1[Claim Size (000s)],Append1[Age],"="&amp;C$10,Append1[Accident Year],"="&amp;$B13)</f>
        <v>385</v>
      </c>
      <c r="D13">
        <f>SUMIFS(Append1[Claim Size (000s)],Append1[Age],"="&amp;D$10,Append1[Accident Year],"="&amp;$B13)+C13</f>
        <v>755</v>
      </c>
      <c r="E13">
        <f>SUMIFS(Append1[Claim Size (000s)],Append1[Age],"="&amp;E$10,Append1[Accident Year],"="&amp;$B13)+D13</f>
        <v>911</v>
      </c>
      <c r="F13">
        <f>SUMIFS(Append1[Claim Size (000s)],Append1[Age],"="&amp;F$10,Append1[Accident Year],"="&amp;$B13)+E13</f>
        <v>925</v>
      </c>
      <c r="G13">
        <f>SUMIFS(Append1[Claim Size (000s)],Append1[Age],"="&amp;G$10,Append1[Accident Year],"="&amp;$B13)+F13</f>
        <v>929</v>
      </c>
      <c r="H13" t="s">
        <v>1</v>
      </c>
      <c r="I13" s="1"/>
    </row>
    <row r="14" spans="2:10" x14ac:dyDescent="0.25">
      <c r="B14" s="6">
        <v>2017</v>
      </c>
      <c r="C14" s="22">
        <f>SUMIFS(Append1[Claim Size (000s)],Append1[Age],"="&amp;C$10,Append1[Accident Year],"="&amp;$B14)</f>
        <v>399</v>
      </c>
      <c r="D14">
        <f>SUMIFS(Append1[Claim Size (000s)],Append1[Age],"="&amp;D$10,Append1[Accident Year],"="&amp;$B14)+C14</f>
        <v>760</v>
      </c>
      <c r="E14">
        <f>SUMIFS(Append1[Claim Size (000s)],Append1[Age],"="&amp;E$10,Append1[Accident Year],"="&amp;$B14)+D14</f>
        <v>931</v>
      </c>
      <c r="F14">
        <f>SUMIFS(Append1[Claim Size (000s)],Append1[Age],"="&amp;F$10,Append1[Accident Year],"="&amp;$B14)+E14</f>
        <v>940</v>
      </c>
      <c r="G14" t="s">
        <v>1</v>
      </c>
      <c r="H14" t="s">
        <v>1</v>
      </c>
      <c r="I14" s="1"/>
    </row>
    <row r="15" spans="2:10" x14ac:dyDescent="0.25">
      <c r="B15" s="6">
        <v>2018</v>
      </c>
      <c r="C15" s="22">
        <f>SUMIFS(Append1[Claim Size (000s)],Append1[Age],"="&amp;C$10,Append1[Accident Year],"="&amp;$B15)</f>
        <v>397</v>
      </c>
      <c r="D15">
        <f>SUMIFS(Append1[Claim Size (000s)],Append1[Age],"="&amp;D$10,Append1[Accident Year],"="&amp;$B15)+C15</f>
        <v>750</v>
      </c>
      <c r="E15">
        <f>SUMIFS(Append1[Claim Size (000s)],Append1[Age],"="&amp;E$10,Append1[Accident Year],"="&amp;$B15)+D15</f>
        <v>922</v>
      </c>
      <c r="F15" t="s">
        <v>1</v>
      </c>
      <c r="G15" t="s">
        <v>1</v>
      </c>
      <c r="H15" t="s">
        <v>1</v>
      </c>
      <c r="I15" s="1"/>
    </row>
    <row r="16" spans="2:10" x14ac:dyDescent="0.25">
      <c r="B16" s="6">
        <v>2019</v>
      </c>
      <c r="C16" s="22">
        <f>SUMIFS(Append1[Claim Size (000s)],Append1[Age],"="&amp;C$10,Append1[Accident Year],"="&amp;$B16)</f>
        <v>422</v>
      </c>
      <c r="D16">
        <f>SUMIFS(Append1[Claim Size (000s)],Append1[Age],"="&amp;D$10,Append1[Accident Year],"="&amp;$B16)+C16</f>
        <v>762</v>
      </c>
      <c r="E16" t="s">
        <v>1</v>
      </c>
      <c r="F16" t="s">
        <v>1</v>
      </c>
      <c r="G16" t="s">
        <v>1</v>
      </c>
      <c r="H16" t="s">
        <v>1</v>
      </c>
      <c r="I16" s="1"/>
      <c r="J16" t="s">
        <v>15</v>
      </c>
    </row>
    <row r="17" spans="2:10" x14ac:dyDescent="0.25">
      <c r="B17" s="7">
        <v>2020</v>
      </c>
      <c r="C17" s="2">
        <f>SUMIFS(Append1[Claim Size (000s)],Append1[Age],"="&amp;C$10,Append1[Accident Year],"="&amp;$B17)</f>
        <v>385</v>
      </c>
      <c r="D17" s="3" t="s">
        <v>1</v>
      </c>
      <c r="E17" s="3" t="s">
        <v>1</v>
      </c>
      <c r="F17" s="3" t="s">
        <v>1</v>
      </c>
      <c r="G17" s="3" t="s">
        <v>1</v>
      </c>
      <c r="H17" s="3" t="s">
        <v>1</v>
      </c>
      <c r="I17" s="21">
        <f ca="1">C47</f>
        <v>898.10934052169569</v>
      </c>
      <c r="J17" s="55">
        <f ca="1">I17-C17</f>
        <v>513.10934052169569</v>
      </c>
    </row>
    <row r="22" spans="2:10" x14ac:dyDescent="0.25">
      <c r="B22" s="56" t="s">
        <v>3</v>
      </c>
      <c r="C22" s="57"/>
      <c r="D22" s="57"/>
      <c r="E22" s="57"/>
      <c r="F22" s="57"/>
      <c r="G22" s="57"/>
      <c r="H22" s="57"/>
      <c r="I22" s="58"/>
    </row>
    <row r="23" spans="2:10" x14ac:dyDescent="0.25">
      <c r="B23" s="5" t="s">
        <v>0</v>
      </c>
      <c r="C23" s="10" t="str">
        <f>C10&amp;" - "&amp;D10</f>
        <v>12 - 24</v>
      </c>
      <c r="D23" s="8" t="str">
        <f t="shared" ref="D23:H23" si="0">D10&amp;" - "&amp;E10</f>
        <v>24 - 36</v>
      </c>
      <c r="E23" s="8" t="str">
        <f t="shared" si="0"/>
        <v>36 - 48</v>
      </c>
      <c r="F23" s="8" t="str">
        <f t="shared" si="0"/>
        <v>48 - 60</v>
      </c>
      <c r="G23" s="8" t="str">
        <f t="shared" si="0"/>
        <v>60 - 72</v>
      </c>
      <c r="H23" s="8" t="str">
        <f t="shared" si="0"/>
        <v>72 - 84</v>
      </c>
      <c r="I23" s="9" t="str">
        <f>I10&amp;" - "&amp;"Ult"</f>
        <v>84 - Ult</v>
      </c>
    </row>
    <row r="24" spans="2:10" x14ac:dyDescent="0.25">
      <c r="B24" s="6">
        <v>2014</v>
      </c>
      <c r="C24" s="13">
        <f>IFERROR(D11/C11,"")</f>
        <v>1.9109947643979057</v>
      </c>
      <c r="D24" s="14">
        <f t="shared" ref="D24:I24" si="1">IFERROR(E11/D11,"")</f>
        <v>1.2191780821917808</v>
      </c>
      <c r="E24" s="14">
        <f t="shared" si="1"/>
        <v>1.0337078651685394</v>
      </c>
      <c r="F24" s="14">
        <f t="shared" si="1"/>
        <v>1.0097826086956523</v>
      </c>
      <c r="G24" s="14">
        <f t="shared" si="1"/>
        <v>1.0010764262648009</v>
      </c>
      <c r="H24" s="14">
        <f t="shared" si="1"/>
        <v>1</v>
      </c>
      <c r="I24" s="15">
        <f t="shared" si="1"/>
        <v>0</v>
      </c>
    </row>
    <row r="25" spans="2:10" x14ac:dyDescent="0.25">
      <c r="B25" s="6">
        <v>2015</v>
      </c>
      <c r="C25" s="22">
        <f t="shared" ref="C25:I25" si="2">IFERROR(D12/C12,"")</f>
        <v>1.9866666666666666</v>
      </c>
      <c r="D25">
        <f t="shared" si="2"/>
        <v>1.2161073825503357</v>
      </c>
      <c r="E25">
        <f t="shared" si="2"/>
        <v>1.011037527593819</v>
      </c>
      <c r="F25">
        <f t="shared" si="2"/>
        <v>1.0152838427947599</v>
      </c>
      <c r="G25">
        <f t="shared" si="2"/>
        <v>1.0032258064516129</v>
      </c>
      <c r="H25">
        <f t="shared" si="2"/>
        <v>0</v>
      </c>
      <c r="I25" s="1" t="str">
        <f t="shared" si="2"/>
        <v/>
      </c>
    </row>
    <row r="26" spans="2:10" x14ac:dyDescent="0.25">
      <c r="B26" s="6">
        <v>2016</v>
      </c>
      <c r="C26" s="22">
        <f t="shared" ref="C26:I26" si="3">IFERROR(D13/C13,"")</f>
        <v>1.9610389610389611</v>
      </c>
      <c r="D26">
        <f t="shared" si="3"/>
        <v>1.2066225165562914</v>
      </c>
      <c r="E26">
        <f t="shared" si="3"/>
        <v>1.0153677277716795</v>
      </c>
      <c r="F26">
        <f t="shared" si="3"/>
        <v>1.0043243243243243</v>
      </c>
      <c r="G26" t="str">
        <f t="shared" si="3"/>
        <v/>
      </c>
      <c r="H26" t="str">
        <f t="shared" si="3"/>
        <v/>
      </c>
      <c r="I26" s="1" t="str">
        <f t="shared" si="3"/>
        <v/>
      </c>
    </row>
    <row r="27" spans="2:10" x14ac:dyDescent="0.25">
      <c r="B27" s="6">
        <v>2017</v>
      </c>
      <c r="C27" s="22">
        <f t="shared" ref="C27:I27" si="4">IFERROR(D14/C14,"")</f>
        <v>1.9047619047619047</v>
      </c>
      <c r="D27">
        <f t="shared" si="4"/>
        <v>1.2250000000000001</v>
      </c>
      <c r="E27">
        <f t="shared" si="4"/>
        <v>1.0096670247046187</v>
      </c>
      <c r="F27" t="str">
        <f t="shared" si="4"/>
        <v/>
      </c>
      <c r="G27" t="str">
        <f t="shared" si="4"/>
        <v/>
      </c>
      <c r="H27" t="str">
        <f t="shared" si="4"/>
        <v/>
      </c>
      <c r="I27" s="1" t="str">
        <f t="shared" si="4"/>
        <v/>
      </c>
    </row>
    <row r="28" spans="2:10" x14ac:dyDescent="0.25">
      <c r="B28" s="6">
        <v>2018</v>
      </c>
      <c r="C28" s="22">
        <f t="shared" ref="C28:I28" si="5">IFERROR(D15/C15,"")</f>
        <v>1.8891687657430731</v>
      </c>
      <c r="D28">
        <f t="shared" si="5"/>
        <v>1.2293333333333334</v>
      </c>
      <c r="E28" t="str">
        <f t="shared" si="5"/>
        <v/>
      </c>
      <c r="F28" t="str">
        <f t="shared" si="5"/>
        <v/>
      </c>
      <c r="G28" t="str">
        <f t="shared" si="5"/>
        <v/>
      </c>
      <c r="H28" t="str">
        <f t="shared" si="5"/>
        <v/>
      </c>
      <c r="I28" s="1" t="str">
        <f t="shared" si="5"/>
        <v/>
      </c>
    </row>
    <row r="29" spans="2:10" x14ac:dyDescent="0.25">
      <c r="B29" s="6">
        <v>2019</v>
      </c>
      <c r="C29" s="22">
        <f t="shared" ref="C29:I29" si="6">IFERROR(D16/C16,"")</f>
        <v>1.8056872037914693</v>
      </c>
      <c r="D29" t="str">
        <f t="shared" si="6"/>
        <v/>
      </c>
      <c r="E29" t="str">
        <f t="shared" si="6"/>
        <v/>
      </c>
      <c r="F29" t="str">
        <f t="shared" si="6"/>
        <v/>
      </c>
      <c r="G29" t="str">
        <f t="shared" si="6"/>
        <v/>
      </c>
      <c r="H29" t="str">
        <f t="shared" si="6"/>
        <v/>
      </c>
      <c r="I29" s="1" t="str">
        <f t="shared" si="6"/>
        <v/>
      </c>
    </row>
    <row r="30" spans="2:10" x14ac:dyDescent="0.25">
      <c r="B30" s="7">
        <v>2020</v>
      </c>
      <c r="C30" s="2" t="str">
        <f t="shared" ref="C30:H30" si="7">IFERROR(D17/C17,"")</f>
        <v/>
      </c>
      <c r="D30" s="3" t="str">
        <f t="shared" si="7"/>
        <v/>
      </c>
      <c r="E30" s="3" t="str">
        <f t="shared" si="7"/>
        <v/>
      </c>
      <c r="F30" s="3" t="str">
        <f t="shared" si="7"/>
        <v/>
      </c>
      <c r="G30" s="3" t="str">
        <f t="shared" si="7"/>
        <v/>
      </c>
      <c r="H30" s="3" t="str">
        <f t="shared" ca="1" si="7"/>
        <v/>
      </c>
      <c r="I30" s="4"/>
    </row>
    <row r="33" spans="2:9" x14ac:dyDescent="0.25">
      <c r="B33" s="11" t="s">
        <v>4</v>
      </c>
      <c r="C33" s="13">
        <f ca="1">AVERAGE(OFFSET(C24,COUNT(C25:C30),0,-3,1))</f>
        <v>1.866539291432149</v>
      </c>
      <c r="D33" s="13">
        <f t="shared" ref="D33:F33" ca="1" si="8">AVERAGE(OFFSET(D24,COUNT(D25:D30),0,-3,1))</f>
        <v>1.220318616629875</v>
      </c>
      <c r="E33" s="13">
        <f t="shared" ca="1" si="8"/>
        <v>1.0120240933567057</v>
      </c>
      <c r="F33" s="13">
        <f t="shared" ca="1" si="8"/>
        <v>1.0097969252715788</v>
      </c>
      <c r="G33" s="14">
        <f>AVERAGE(G24:G25)</f>
        <v>1.0021511163582069</v>
      </c>
      <c r="H33" s="14">
        <f>H24</f>
        <v>1</v>
      </c>
      <c r="I33" s="15"/>
    </row>
    <row r="34" spans="2:9" x14ac:dyDescent="0.25">
      <c r="B34" s="12" t="s">
        <v>5</v>
      </c>
      <c r="C34" s="2">
        <f ca="1">SUM(OFFSET(D10,COUNT(D11:D17),0,-3,1))/SUM(OFFSET(C10,COUNT(C11:C17)-1,0,-3,1))</f>
        <v>1.8653530377668308</v>
      </c>
      <c r="D34" s="2">
        <f t="shared" ref="D34:F34" ca="1" si="9">SUM(OFFSET(E10,COUNT(E11:E17),0,-3,1))/SUM(OFFSET(D10,COUNT(D11:D17)-1,0,-3,1))</f>
        <v>1.2203090507726269</v>
      </c>
      <c r="E34" s="2">
        <f t="shared" ca="1" si="9"/>
        <v>1.0120087336244541</v>
      </c>
      <c r="F34" s="2">
        <f t="shared" ca="1" si="9"/>
        <v>1.009779065555958</v>
      </c>
      <c r="G34" s="3">
        <f>SUM(H11:H12)/SUM(G11:G12)</f>
        <v>1.0021516944593867</v>
      </c>
      <c r="H34" s="3">
        <f>SUM(I11)/SUM(H11)</f>
        <v>1</v>
      </c>
      <c r="I34" s="4"/>
    </row>
    <row r="36" spans="2:9" x14ac:dyDescent="0.25">
      <c r="B36" s="17" t="s">
        <v>11</v>
      </c>
      <c r="C36" s="14">
        <f ca="1">C33</f>
        <v>1.866539291432149</v>
      </c>
      <c r="D36" s="14">
        <f t="shared" ref="D36:H36" ca="1" si="10">D33</f>
        <v>1.220318616629875</v>
      </c>
      <c r="E36" s="14">
        <f t="shared" ca="1" si="10"/>
        <v>1.0120240933567057</v>
      </c>
      <c r="F36" s="14">
        <f t="shared" ca="1" si="10"/>
        <v>1.0097969252715788</v>
      </c>
      <c r="G36" s="14">
        <f t="shared" si="10"/>
        <v>1.0021511163582069</v>
      </c>
      <c r="H36" s="14">
        <f t="shared" si="10"/>
        <v>1</v>
      </c>
      <c r="I36" s="15"/>
    </row>
    <row r="37" spans="2:9" x14ac:dyDescent="0.25">
      <c r="B37" s="18"/>
      <c r="C37" s="16" t="str">
        <f>C10&amp;"-"&amp;"Ult"</f>
        <v>12-Ult</v>
      </c>
      <c r="D37" s="16" t="str">
        <f t="shared" ref="D37:H37" si="11">D10&amp;"-"&amp;"Ult"</f>
        <v>24-Ult</v>
      </c>
      <c r="E37" s="16" t="str">
        <f t="shared" si="11"/>
        <v>36-Ult</v>
      </c>
      <c r="F37" s="16" t="str">
        <f t="shared" si="11"/>
        <v>48-Ult</v>
      </c>
      <c r="G37" s="16" t="str">
        <f t="shared" si="11"/>
        <v>60-Ult</v>
      </c>
      <c r="H37" s="16" t="str">
        <f t="shared" si="11"/>
        <v>72-Ult</v>
      </c>
      <c r="I37" s="1"/>
    </row>
    <row r="38" spans="2:9" x14ac:dyDescent="0.25">
      <c r="B38" s="19" t="s">
        <v>12</v>
      </c>
      <c r="C38" s="3">
        <f t="shared" ref="C38:F38" ca="1" si="12">D38*C36</f>
        <v>2.3327515338225862</v>
      </c>
      <c r="D38" s="3">
        <f t="shared" ca="1" si="12"/>
        <v>1.2497736021579937</v>
      </c>
      <c r="E38" s="3">
        <f t="shared" ca="1" si="12"/>
        <v>1.0241371270803554</v>
      </c>
      <c r="F38" s="3">
        <f t="shared" ca="1" si="12"/>
        <v>1.0119691159559976</v>
      </c>
      <c r="G38" s="3">
        <f>H38*G36</f>
        <v>1.0021511163582069</v>
      </c>
      <c r="H38" s="3">
        <f>H36</f>
        <v>1</v>
      </c>
      <c r="I38" s="4"/>
    </row>
    <row r="40" spans="2:9" x14ac:dyDescent="0.25">
      <c r="B40" s="5" t="s">
        <v>13</v>
      </c>
      <c r="C40" s="5" t="s">
        <v>14</v>
      </c>
      <c r="D40" s="5"/>
    </row>
    <row r="41" spans="2:9" x14ac:dyDescent="0.25">
      <c r="B41" s="18">
        <f>B11</f>
        <v>2014</v>
      </c>
      <c r="C41" s="20">
        <f>I11</f>
        <v>930</v>
      </c>
      <c r="D41" s="18"/>
    </row>
    <row r="42" spans="2:9" x14ac:dyDescent="0.25">
      <c r="B42" s="18">
        <f t="shared" ref="B42:B47" si="13">B12</f>
        <v>2015</v>
      </c>
      <c r="C42" s="20">
        <f>H12*H$38</f>
        <v>933</v>
      </c>
      <c r="D42" s="18"/>
    </row>
    <row r="43" spans="2:9" x14ac:dyDescent="0.25">
      <c r="B43" s="18">
        <f t="shared" si="13"/>
        <v>2016</v>
      </c>
      <c r="C43" s="20">
        <f>G13*G$38</f>
        <v>930.9983870967742</v>
      </c>
      <c r="D43" s="18"/>
    </row>
    <row r="44" spans="2:9" x14ac:dyDescent="0.25">
      <c r="B44" s="18">
        <f t="shared" si="13"/>
        <v>2017</v>
      </c>
      <c r="C44" s="20">
        <f ca="1">F14*F$38</f>
        <v>951.25096899863775</v>
      </c>
      <c r="D44" s="18"/>
    </row>
    <row r="45" spans="2:9" x14ac:dyDescent="0.25">
      <c r="B45" s="18">
        <f t="shared" si="13"/>
        <v>2018</v>
      </c>
      <c r="C45" s="20">
        <f ca="1">E15*E$38</f>
        <v>944.25443116808765</v>
      </c>
      <c r="D45" s="18"/>
    </row>
    <row r="46" spans="2:9" x14ac:dyDescent="0.25">
      <c r="B46" s="18">
        <f t="shared" si="13"/>
        <v>2019</v>
      </c>
      <c r="C46" s="20">
        <f ca="1">D16*D$38</f>
        <v>952.32748484439117</v>
      </c>
      <c r="D46" s="18"/>
    </row>
    <row r="47" spans="2:9" x14ac:dyDescent="0.25">
      <c r="B47" s="19">
        <f t="shared" si="13"/>
        <v>2020</v>
      </c>
      <c r="C47" s="20">
        <f ca="1">C17*C$38</f>
        <v>898.10934052169569</v>
      </c>
      <c r="D47" s="19"/>
    </row>
  </sheetData>
  <mergeCells count="2">
    <mergeCell ref="B9:I9"/>
    <mergeCell ref="B22:I2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C3472F-0F1F-473B-B271-25BEC5403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Processing</vt:lpstr>
      <vt:lpstr>Output</vt:lpstr>
      <vt:lpstr>CL_Expected Method</vt:lpstr>
      <vt:lpstr>CL_Basic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Agarwal</dc:creator>
  <cp:lastModifiedBy>Harsh Agarwal</cp:lastModifiedBy>
  <cp:lastPrinted>2025-12-10T11:33:19Z</cp:lastPrinted>
  <dcterms:created xsi:type="dcterms:W3CDTF">2025-12-10T05:43:40Z</dcterms:created>
  <dcterms:modified xsi:type="dcterms:W3CDTF">2025-12-12T10:12:26Z</dcterms:modified>
</cp:coreProperties>
</file>