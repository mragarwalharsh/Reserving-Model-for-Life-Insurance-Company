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Excel\Resume\Life Insurance\Life Insurance Reserve Valuation\"/>
    </mc:Choice>
  </mc:AlternateContent>
  <xr:revisionPtr revIDLastSave="0" documentId="13_ncr:1_{761921E1-6D1A-446D-8E86-9E5AC309904B}" xr6:coauthVersionLast="47" xr6:coauthVersionMax="47" xr10:uidLastSave="{00000000-0000-0000-0000-000000000000}"/>
  <bookViews>
    <workbookView xWindow="-120" yWindow="-120" windowWidth="20730" windowHeight="11160" xr2:uid="{3C7CA6A0-8D06-4672-BFA9-B3C20B118C1B}"/>
  </bookViews>
  <sheets>
    <sheet name="Reserves" sheetId="1" r:id="rId1"/>
    <sheet name="Expected Claims" sheetId="2" r:id="rId2"/>
    <sheet name="Expected Expens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10" i="1"/>
  <c r="F9" i="1" s="1"/>
  <c r="F8" i="1" s="1"/>
  <c r="F7" i="1" s="1"/>
  <c r="F6" i="1" s="1"/>
  <c r="F5" i="1" s="1"/>
  <c r="F4" i="1" s="1"/>
  <c r="F3" i="1" s="1"/>
  <c r="F11" i="1"/>
  <c r="F12" i="1"/>
  <c r="E4" i="1"/>
  <c r="E5" i="1"/>
  <c r="E6" i="1"/>
  <c r="E7" i="1"/>
  <c r="E8" i="1"/>
  <c r="E9" i="1"/>
  <c r="E10" i="1"/>
  <c r="E11" i="1"/>
  <c r="E12" i="1"/>
  <c r="E3" i="1"/>
  <c r="D5" i="1"/>
  <c r="D6" i="1" s="1"/>
  <c r="D7" i="1" s="1"/>
  <c r="D8" i="1" s="1"/>
  <c r="D9" i="1" s="1"/>
  <c r="D10" i="1" s="1"/>
  <c r="D11" i="1" s="1"/>
  <c r="D12" i="1" s="1"/>
  <c r="D4" i="1"/>
  <c r="C4" i="1"/>
  <c r="C5" i="1"/>
  <c r="C6" i="1"/>
  <c r="C7" i="1"/>
  <c r="C8" i="1"/>
  <c r="C9" i="1"/>
  <c r="C10" i="1"/>
  <c r="C11" i="1"/>
  <c r="C12" i="1"/>
  <c r="C3" i="1"/>
  <c r="H4" i="3"/>
  <c r="H5" i="3"/>
  <c r="H6" i="3"/>
  <c r="H7" i="3"/>
  <c r="H8" i="3"/>
  <c r="H9" i="3"/>
  <c r="H10" i="3"/>
  <c r="H11" i="3"/>
  <c r="H12" i="3"/>
  <c r="G5" i="3"/>
  <c r="G6" i="3" s="1"/>
  <c r="G7" i="3" s="1"/>
  <c r="G8" i="3" s="1"/>
  <c r="G9" i="3" s="1"/>
  <c r="G10" i="3" s="1"/>
  <c r="G11" i="3" s="1"/>
  <c r="G12" i="3" s="1"/>
  <c r="G4" i="3"/>
  <c r="F4" i="3"/>
  <c r="F5" i="3"/>
  <c r="F6" i="3"/>
  <c r="F7" i="3"/>
  <c r="F8" i="3"/>
  <c r="F9" i="3"/>
  <c r="F10" i="3"/>
  <c r="F11" i="3"/>
  <c r="F12" i="3"/>
  <c r="E5" i="3"/>
  <c r="E6" i="3" s="1"/>
  <c r="E7" i="3" s="1"/>
  <c r="E8" i="3" s="1"/>
  <c r="E9" i="3" s="1"/>
  <c r="E10" i="3" s="1"/>
  <c r="E11" i="3" s="1"/>
  <c r="E12" i="3" s="1"/>
  <c r="E4" i="3"/>
  <c r="C5" i="3"/>
  <c r="C6" i="3"/>
  <c r="C7" i="3" s="1"/>
  <c r="C8" i="3" s="1"/>
  <c r="C9" i="3" s="1"/>
  <c r="C10" i="3" s="1"/>
  <c r="C11" i="3" s="1"/>
  <c r="C12" i="3" s="1"/>
  <c r="C4" i="3"/>
  <c r="H3" i="3"/>
  <c r="F3" i="3"/>
  <c r="B4" i="1"/>
  <c r="B5" i="1"/>
  <c r="B6" i="1"/>
  <c r="B7" i="1"/>
  <c r="B8" i="1"/>
  <c r="B9" i="1"/>
  <c r="B10" i="1"/>
  <c r="B11" i="1"/>
  <c r="B12" i="1"/>
  <c r="B3" i="1"/>
  <c r="J6" i="2"/>
  <c r="J7" i="2"/>
  <c r="J8" i="2"/>
  <c r="J9" i="2"/>
  <c r="J10" i="2"/>
  <c r="J11" i="2"/>
  <c r="J12" i="2"/>
  <c r="J13" i="2"/>
  <c r="J14" i="2"/>
  <c r="J5" i="2"/>
  <c r="I6" i="2"/>
  <c r="I7" i="2"/>
  <c r="I8" i="2"/>
  <c r="I9" i="2"/>
  <c r="I10" i="2"/>
  <c r="I11" i="2"/>
  <c r="I12" i="2"/>
  <c r="I13" i="2"/>
  <c r="I14" i="2"/>
  <c r="I5" i="2"/>
  <c r="H6" i="2"/>
  <c r="H7" i="2"/>
  <c r="H8" i="2"/>
  <c r="H9" i="2"/>
  <c r="H10" i="2"/>
  <c r="H11" i="2"/>
  <c r="H12" i="2"/>
  <c r="H13" i="2"/>
  <c r="H14" i="2"/>
  <c r="H5" i="2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</calcChain>
</file>

<file path=xl/sharedStrings.xml><?xml version="1.0" encoding="utf-8"?>
<sst xmlns="http://schemas.openxmlformats.org/spreadsheetml/2006/main" count="52" uniqueCount="31">
  <si>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</si>
  <si>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</si>
  <si>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</si>
  <si>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</si>
  <si>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</si>
  <si>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</si>
  <si>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</si>
  <si>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</si>
  <si>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</si>
  <si>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</si>
  <si>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Age</t>
  </si>
  <si>
    <t>Expected Claims</t>
  </si>
  <si>
    <t>Expected expenses</t>
  </si>
  <si>
    <t>Profit</t>
  </si>
  <si>
    <t>Total $ Needed</t>
  </si>
  <si>
    <t>Reserve</t>
  </si>
  <si>
    <t>Face Value</t>
  </si>
  <si>
    <t>Various</t>
  </si>
  <si>
    <t>Policy Holder</t>
  </si>
  <si>
    <t>Joe</t>
  </si>
  <si>
    <t>Cindy</t>
  </si>
  <si>
    <t>Eric</t>
  </si>
  <si>
    <t>Others</t>
  </si>
  <si>
    <t>Mortality_Rate</t>
  </si>
  <si>
    <t>Total Claims for year</t>
  </si>
  <si>
    <t>Projected Sales</t>
  </si>
  <si>
    <t>Mortgage Payment</t>
  </si>
  <si>
    <t>Payroll</t>
  </si>
  <si>
    <t>Sales Commission</t>
  </si>
  <si>
    <t>Legal Fees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</si>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</sst>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4CD9-203C-4984-A703-0EA7D3883004}">
  <dimension ref="A2:G12"/>
  <sheetViews>
    <sheetView tabSelected="1" workbookViewId="0">
      <selection activeCell="C3" sqref="C3"/>
    </sheetView>
  </sheetViews>
  <sheetFormatPr defaultRowHeight="15" x14ac:dyDescent="0.25"/>
  <cols>
    <col min="2" max="2" width="15.5703125" bestFit="1" customWidth="1"/>
    <col min="3" max="3" width="18.28515625" bestFit="1" customWidth="1"/>
    <col min="4" max="4" width="12.42578125" customWidth="1"/>
    <col min="5" max="5" width="14.5703125" bestFit="1" customWidth="1"/>
    <col min="6" max="7" width="12" bestFit="1" customWidth="1"/>
  </cols>
  <sheetData>
    <row r="2" spans="1:7" x14ac:dyDescent="0.25"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 spans="1:7" x14ac:dyDescent="0.25">
      <c r="A3" s="3" t="s">
        <v>0</v>
      </c>
      <c r="B3" s="4">
        <f>'Expected Claims'!J5</f>
        <v>9637048.3000000007</v>
      </c>
      <c r="C3" s="4">
        <f>'Expected Expenses'!H3</f>
        <v>15661000</v>
      </c>
      <c r="D3" s="4">
        <v>30000</v>
      </c>
      <c r="E3" s="4">
        <f>SUM(B3:D3)</f>
        <v>25328048.300000001</v>
      </c>
      <c r="F3" s="4">
        <f t="shared" ref="F3:F10" si="0">(F4/1.05)+E3</f>
        <v>314601548.76017743</v>
      </c>
      <c r="G3" s="5">
        <f>F3/1.05</f>
        <v>299620522.62874043</v>
      </c>
    </row>
    <row r="4" spans="1:7" x14ac:dyDescent="0.25">
      <c r="A4" s="3" t="s">
        <v>1</v>
      </c>
      <c r="B4" s="4">
        <f>'Expected Claims'!J6</f>
        <v>10405485.300000001</v>
      </c>
      <c r="C4" s="4">
        <f>'Expected Expenses'!H4</f>
        <v>17886000</v>
      </c>
      <c r="D4" s="4">
        <f>D3*1.1</f>
        <v>33000</v>
      </c>
      <c r="E4" s="4">
        <f t="shared" ref="E4:E12" si="1">SUM(B4:D4)</f>
        <v>28324485.300000001</v>
      </c>
      <c r="F4" s="4">
        <f t="shared" si="0"/>
        <v>303737175.4831863</v>
      </c>
    </row>
    <row r="5" spans="1:7" x14ac:dyDescent="0.25">
      <c r="A5" s="3" t="s">
        <v>2</v>
      </c>
      <c r="B5" s="4">
        <f>'Expected Claims'!J7</f>
        <v>11301966.300000001</v>
      </c>
      <c r="C5" s="4">
        <f>'Expected Expenses'!H5</f>
        <v>20119750</v>
      </c>
      <c r="D5" s="4">
        <f t="shared" ref="D5:D12" si="2">D4*1.1</f>
        <v>36300</v>
      </c>
      <c r="E5" s="4">
        <f t="shared" si="1"/>
        <v>31458016.300000001</v>
      </c>
      <c r="F5" s="4">
        <f t="shared" si="0"/>
        <v>289183324.69234562</v>
      </c>
    </row>
    <row r="6" spans="1:7" x14ac:dyDescent="0.25">
      <c r="A6" s="3" t="s">
        <v>3</v>
      </c>
      <c r="B6" s="4">
        <f>'Expected Claims'!J8</f>
        <v>12294501.9</v>
      </c>
      <c r="C6" s="4">
        <f>'Expected Expenses'!H6</f>
        <v>22362937.5</v>
      </c>
      <c r="D6" s="4">
        <f t="shared" si="2"/>
        <v>39930</v>
      </c>
      <c r="E6" s="4">
        <f t="shared" si="1"/>
        <v>34697369.399999999</v>
      </c>
      <c r="F6" s="4">
        <f t="shared" si="0"/>
        <v>270611573.8119629</v>
      </c>
    </row>
    <row r="7" spans="1:7" x14ac:dyDescent="0.25">
      <c r="A7" s="3" t="s">
        <v>4</v>
      </c>
      <c r="B7" s="4">
        <f>'Expected Claims'!J9</f>
        <v>13351093</v>
      </c>
      <c r="C7" s="4">
        <f>'Expected Expenses'!H7</f>
        <v>24616309.375</v>
      </c>
      <c r="D7" s="4">
        <f t="shared" si="2"/>
        <v>43923</v>
      </c>
      <c r="E7" s="4">
        <f t="shared" si="1"/>
        <v>38011325.375</v>
      </c>
      <c r="F7" s="4">
        <f t="shared" si="0"/>
        <v>247709914.63256106</v>
      </c>
    </row>
    <row r="8" spans="1:7" x14ac:dyDescent="0.25">
      <c r="A8" s="3" t="s">
        <v>5</v>
      </c>
      <c r="B8" s="4">
        <f>'Expected Claims'!J10</f>
        <v>14503750.199999999</v>
      </c>
      <c r="C8" s="4">
        <f>'Expected Expenses'!H8</f>
        <v>26880677.34375</v>
      </c>
      <c r="D8" s="4">
        <f t="shared" si="2"/>
        <v>48315.3</v>
      </c>
      <c r="E8" s="4">
        <f t="shared" si="1"/>
        <v>41432742.84375</v>
      </c>
      <c r="F8" s="4">
        <f t="shared" si="0"/>
        <v>220183518.72043911</v>
      </c>
    </row>
    <row r="9" spans="1:7" x14ac:dyDescent="0.25">
      <c r="A9" s="3" t="s">
        <v>6</v>
      </c>
      <c r="B9" s="4">
        <f>'Expected Claims'!J11</f>
        <v>15752474</v>
      </c>
      <c r="C9" s="4">
        <f>'Expected Expenses'!H9</f>
        <v>29156923.9609375</v>
      </c>
      <c r="D9" s="4">
        <f t="shared" si="2"/>
        <v>53146.830000000009</v>
      </c>
      <c r="E9" s="4">
        <f t="shared" si="1"/>
        <v>44962544.790937498</v>
      </c>
      <c r="F9" s="4">
        <f t="shared" si="0"/>
        <v>187688314.67052358</v>
      </c>
    </row>
    <row r="10" spans="1:7" x14ac:dyDescent="0.25">
      <c r="A10" s="3" t="s">
        <v>7</v>
      </c>
      <c r="B10" s="4">
        <f>'Expected Claims'!J12</f>
        <v>17129274.600000001</v>
      </c>
      <c r="C10" s="4">
        <f>'Expected Expenses'!H10</f>
        <v>31446009.183984376</v>
      </c>
      <c r="D10" s="4">
        <f t="shared" si="2"/>
        <v>58461.513000000014</v>
      </c>
      <c r="E10" s="4">
        <f t="shared" si="1"/>
        <v>48633745.296984375</v>
      </c>
      <c r="F10" s="4">
        <f t="shared" si="0"/>
        <v>149862058.37356538</v>
      </c>
    </row>
    <row r="11" spans="1:7" x14ac:dyDescent="0.25">
      <c r="A11" s="3" t="s">
        <v>8</v>
      </c>
      <c r="B11" s="4">
        <f>'Expected Claims'!J13</f>
        <v>18666153.399999999</v>
      </c>
      <c r="C11" s="4">
        <f>'Expected Expenses'!H11</f>
        <v>33748977.570683599</v>
      </c>
      <c r="D11" s="4">
        <f t="shared" si="2"/>
        <v>64307.664300000019</v>
      </c>
      <c r="E11" s="4">
        <f t="shared" si="1"/>
        <v>52479438.634983599</v>
      </c>
      <c r="F11" s="4">
        <f>(F12/1.05)+E11</f>
        <v>106289728.73041005</v>
      </c>
    </row>
    <row r="12" spans="1:7" x14ac:dyDescent="0.25">
      <c r="A12" s="3" t="s">
        <v>9</v>
      </c>
      <c r="B12" s="4">
        <f>'Expected Claims'!J14</f>
        <v>20363100</v>
      </c>
      <c r="C12" s="4">
        <f>'Expected Expenses'!H12</f>
        <v>36066966.169467777</v>
      </c>
      <c r="D12" s="4">
        <f t="shared" si="2"/>
        <v>70738.430730000022</v>
      </c>
      <c r="E12" s="4">
        <f t="shared" si="1"/>
        <v>56500804.600197777</v>
      </c>
      <c r="F12" s="4">
        <f>E12</f>
        <v>56500804.600197777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1E3F-D287-430C-AA0B-67A41987D12E}">
  <dimension ref="A2:J102"/>
  <sheetViews>
    <sheetView workbookViewId="0">
      <selection activeCell="B3" sqref="B3"/>
    </sheetView>
  </sheetViews>
  <sheetFormatPr defaultRowHeight="15" x14ac:dyDescent="0.25"/>
  <cols>
    <col min="2" max="2" width="13.7109375" bestFit="1" customWidth="1"/>
    <col min="5" max="5" width="12.7109375" bestFit="1" customWidth="1"/>
    <col min="9" max="9" width="11" bestFit="1" customWidth="1"/>
  </cols>
  <sheetData>
    <row r="2" spans="1:10" x14ac:dyDescent="0.25">
      <c r="A2" s="2" t="s">
        <v>10</v>
      </c>
      <c r="B2" s="2" t="s">
        <v>23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</row>
    <row r="3" spans="1:10" x14ac:dyDescent="0.25">
      <c r="A3" s="1">
        <v>0</v>
      </c>
      <c r="B3" s="1">
        <v>7.0800000000000004E-3</v>
      </c>
      <c r="E3" s="3" t="s">
        <v>16</v>
      </c>
      <c r="F3">
        <v>10000</v>
      </c>
      <c r="G3">
        <v>1000000</v>
      </c>
      <c r="H3">
        <v>50000</v>
      </c>
      <c r="I3">
        <v>3200000000</v>
      </c>
    </row>
    <row r="4" spans="1:10" x14ac:dyDescent="0.25">
      <c r="A4" s="1">
        <v>1</v>
      </c>
      <c r="B4" s="1">
        <v>1.7600000000000001E-3</v>
      </c>
      <c r="E4" s="3" t="s">
        <v>10</v>
      </c>
      <c r="F4">
        <v>28</v>
      </c>
      <c r="G4">
        <v>43</v>
      </c>
      <c r="H4">
        <v>52</v>
      </c>
      <c r="I4" t="s">
        <v>17</v>
      </c>
      <c r="J4" t="s">
        <v>24</v>
      </c>
    </row>
    <row r="5" spans="1:10" x14ac:dyDescent="0.25">
      <c r="A5" s="1">
        <v>2</v>
      </c>
      <c r="B5" s="1">
        <v>1.5200000000000001E-3</v>
      </c>
      <c r="E5" s="3" t="s">
        <v>0</v>
      </c>
      <c r="F5">
        <f>$F$3*$B31</f>
        <v>20.3</v>
      </c>
      <c r="G5">
        <f>$G$3*$B46</f>
        <v>4530</v>
      </c>
      <c r="H5">
        <f>$H$3*$B55</f>
        <v>498</v>
      </c>
      <c r="I5">
        <f>$I$3*B41</f>
        <v>9632000</v>
      </c>
      <c r="J5">
        <f>SUM(F5:I5)</f>
        <v>9637048.3000000007</v>
      </c>
    </row>
    <row r="6" spans="1:10" x14ac:dyDescent="0.25">
      <c r="A6" s="1">
        <v>3</v>
      </c>
      <c r="B6" s="1">
        <v>1.4599999999999999E-3</v>
      </c>
      <c r="E6" s="3" t="s">
        <v>1</v>
      </c>
      <c r="F6">
        <f t="shared" ref="F6:F14" si="0">$F$3*$B32</f>
        <v>20.799999999999997</v>
      </c>
      <c r="G6">
        <f t="shared" ref="G6:G14" si="1">$G$3*$B47</f>
        <v>4920</v>
      </c>
      <c r="H6">
        <f t="shared" ref="H6:H14" si="2">$H$3*$B56</f>
        <v>544.5</v>
      </c>
      <c r="I6">
        <f t="shared" ref="I6:I14" si="3">$I$3*B42</f>
        <v>10400000</v>
      </c>
      <c r="J6">
        <f t="shared" ref="J6:J14" si="4">SUM(F6:I6)</f>
        <v>10405485.300000001</v>
      </c>
    </row>
    <row r="7" spans="1:10" x14ac:dyDescent="0.25">
      <c r="A7" s="1">
        <v>4</v>
      </c>
      <c r="B7" s="1">
        <v>1.4E-3</v>
      </c>
      <c r="E7" s="3" t="s">
        <v>2</v>
      </c>
      <c r="F7">
        <f t="shared" si="0"/>
        <v>21.3</v>
      </c>
      <c r="G7">
        <f t="shared" si="1"/>
        <v>5350</v>
      </c>
      <c r="H7">
        <f t="shared" si="2"/>
        <v>595</v>
      </c>
      <c r="I7">
        <f t="shared" si="3"/>
        <v>11296000</v>
      </c>
      <c r="J7">
        <f t="shared" si="4"/>
        <v>11301966.300000001</v>
      </c>
    </row>
    <row r="8" spans="1:10" x14ac:dyDescent="0.25">
      <c r="A8" s="1">
        <v>5</v>
      </c>
      <c r="B8" s="1">
        <v>1.3500000000000001E-3</v>
      </c>
      <c r="E8" s="3" t="s">
        <v>3</v>
      </c>
      <c r="F8">
        <f t="shared" si="0"/>
        <v>21.900000000000002</v>
      </c>
      <c r="G8">
        <f t="shared" si="1"/>
        <v>5830</v>
      </c>
      <c r="H8">
        <f t="shared" si="2"/>
        <v>650</v>
      </c>
      <c r="I8">
        <f t="shared" si="3"/>
        <v>12288000</v>
      </c>
      <c r="J8">
        <f t="shared" si="4"/>
        <v>12294501.9</v>
      </c>
    </row>
    <row r="9" spans="1:10" x14ac:dyDescent="0.25">
      <c r="A9" s="1">
        <v>6</v>
      </c>
      <c r="B9" s="1">
        <v>1.2999999999999999E-3</v>
      </c>
      <c r="E9" s="3" t="s">
        <v>4</v>
      </c>
      <c r="F9">
        <f t="shared" si="0"/>
        <v>22.5</v>
      </c>
      <c r="G9">
        <f t="shared" si="1"/>
        <v>6360</v>
      </c>
      <c r="H9">
        <f t="shared" si="2"/>
        <v>710.5</v>
      </c>
      <c r="I9">
        <f t="shared" si="3"/>
        <v>13344000</v>
      </c>
      <c r="J9">
        <f t="shared" si="4"/>
        <v>13351093</v>
      </c>
    </row>
    <row r="10" spans="1:10" x14ac:dyDescent="0.25">
      <c r="A10" s="1">
        <v>7</v>
      </c>
      <c r="B10" s="1">
        <v>1.2600000000000001E-3</v>
      </c>
      <c r="E10" s="3" t="s">
        <v>5</v>
      </c>
      <c r="F10">
        <f t="shared" si="0"/>
        <v>23.2</v>
      </c>
      <c r="G10">
        <f t="shared" si="1"/>
        <v>6950</v>
      </c>
      <c r="H10">
        <f t="shared" si="2"/>
        <v>777</v>
      </c>
      <c r="I10">
        <f t="shared" si="3"/>
        <v>14496000</v>
      </c>
      <c r="J10">
        <f t="shared" si="4"/>
        <v>14503750.199999999</v>
      </c>
    </row>
    <row r="11" spans="1:10" x14ac:dyDescent="0.25">
      <c r="A11" s="1">
        <v>8</v>
      </c>
      <c r="B11" s="1">
        <v>1.23E-3</v>
      </c>
      <c r="E11" s="3" t="s">
        <v>6</v>
      </c>
      <c r="F11">
        <f t="shared" si="0"/>
        <v>23.999999999999996</v>
      </c>
      <c r="G11">
        <f t="shared" si="1"/>
        <v>7600</v>
      </c>
      <c r="H11">
        <f t="shared" si="2"/>
        <v>850.00000000000011</v>
      </c>
      <c r="I11">
        <f t="shared" si="3"/>
        <v>15744000</v>
      </c>
      <c r="J11">
        <f t="shared" si="4"/>
        <v>15752474</v>
      </c>
    </row>
    <row r="12" spans="1:10" x14ac:dyDescent="0.25">
      <c r="A12" s="1">
        <v>9</v>
      </c>
      <c r="B12" s="1">
        <v>1.2099999999999999E-3</v>
      </c>
      <c r="E12" s="3" t="s">
        <v>7</v>
      </c>
      <c r="F12">
        <f t="shared" si="0"/>
        <v>25.1</v>
      </c>
      <c r="G12">
        <f t="shared" si="1"/>
        <v>8320</v>
      </c>
      <c r="H12">
        <f t="shared" si="2"/>
        <v>929.5</v>
      </c>
      <c r="I12">
        <f t="shared" si="3"/>
        <v>17120000</v>
      </c>
      <c r="J12">
        <f t="shared" si="4"/>
        <v>17129274.600000001</v>
      </c>
    </row>
    <row r="13" spans="1:10" x14ac:dyDescent="0.25">
      <c r="A13" s="1">
        <v>10</v>
      </c>
      <c r="B13" s="1">
        <v>1.2099999999999999E-3</v>
      </c>
      <c r="E13" s="3" t="s">
        <v>8</v>
      </c>
      <c r="F13">
        <f t="shared" si="0"/>
        <v>26.4</v>
      </c>
      <c r="G13">
        <f t="shared" si="1"/>
        <v>9110</v>
      </c>
      <c r="H13">
        <f t="shared" si="2"/>
        <v>1017</v>
      </c>
      <c r="I13">
        <f t="shared" si="3"/>
        <v>18656000</v>
      </c>
      <c r="J13">
        <f t="shared" si="4"/>
        <v>18666153.399999999</v>
      </c>
    </row>
    <row r="14" spans="1:10" x14ac:dyDescent="0.25">
      <c r="A14" s="1">
        <v>11</v>
      </c>
      <c r="B14" s="1">
        <v>1.23E-3</v>
      </c>
      <c r="E14" s="3" t="s">
        <v>9</v>
      </c>
      <c r="F14">
        <f t="shared" si="0"/>
        <v>28</v>
      </c>
      <c r="G14">
        <f t="shared" si="1"/>
        <v>9960</v>
      </c>
      <c r="H14">
        <f t="shared" si="2"/>
        <v>1112</v>
      </c>
      <c r="I14">
        <f t="shared" si="3"/>
        <v>20352000</v>
      </c>
      <c r="J14">
        <f t="shared" si="4"/>
        <v>20363100</v>
      </c>
    </row>
    <row r="15" spans="1:10" x14ac:dyDescent="0.25">
      <c r="A15" s="1">
        <v>12</v>
      </c>
      <c r="B15" s="1">
        <v>1.2600000000000001E-3</v>
      </c>
    </row>
    <row r="16" spans="1:10" x14ac:dyDescent="0.25">
      <c r="A16" s="1">
        <v>13</v>
      </c>
      <c r="B16" s="1">
        <v>1.32E-3</v>
      </c>
    </row>
    <row r="17" spans="1:2" x14ac:dyDescent="0.25">
      <c r="A17" s="1">
        <v>14</v>
      </c>
      <c r="B17" s="1">
        <v>1.39E-3</v>
      </c>
    </row>
    <row r="18" spans="1:2" x14ac:dyDescent="0.25">
      <c r="A18" s="1">
        <v>15</v>
      </c>
      <c r="B18" s="1">
        <v>1.4599999999999999E-3</v>
      </c>
    </row>
    <row r="19" spans="1:2" x14ac:dyDescent="0.25">
      <c r="A19" s="1">
        <v>16</v>
      </c>
      <c r="B19" s="1">
        <v>1.5399999999999999E-3</v>
      </c>
    </row>
    <row r="20" spans="1:2" x14ac:dyDescent="0.25">
      <c r="A20" s="1">
        <v>17</v>
      </c>
      <c r="B20" s="1">
        <v>1.6199999999999999E-3</v>
      </c>
    </row>
    <row r="21" spans="1:2" x14ac:dyDescent="0.25">
      <c r="A21" s="1">
        <v>18</v>
      </c>
      <c r="B21" s="1">
        <v>1.6900000000000001E-3</v>
      </c>
    </row>
    <row r="22" spans="1:2" x14ac:dyDescent="0.25">
      <c r="A22" s="1">
        <v>19</v>
      </c>
      <c r="B22" s="1">
        <v>1.74E-3</v>
      </c>
    </row>
    <row r="23" spans="1:2" x14ac:dyDescent="0.25">
      <c r="A23" s="1">
        <v>20</v>
      </c>
      <c r="B23" s="1">
        <v>1.7899999999999999E-3</v>
      </c>
    </row>
    <row r="24" spans="1:2" x14ac:dyDescent="0.25">
      <c r="A24" s="1">
        <v>21</v>
      </c>
      <c r="B24" s="1">
        <v>1.83E-3</v>
      </c>
    </row>
    <row r="25" spans="1:2" x14ac:dyDescent="0.25">
      <c r="A25" s="1">
        <v>22</v>
      </c>
      <c r="B25" s="1">
        <v>1.8600000000000001E-3</v>
      </c>
    </row>
    <row r="26" spans="1:2" x14ac:dyDescent="0.25">
      <c r="A26" s="1">
        <v>23</v>
      </c>
      <c r="B26" s="1">
        <v>1.89E-3</v>
      </c>
    </row>
    <row r="27" spans="1:2" x14ac:dyDescent="0.25">
      <c r="A27" s="1">
        <v>24</v>
      </c>
      <c r="B27" s="1">
        <v>1.91E-3</v>
      </c>
    </row>
    <row r="28" spans="1:2" x14ac:dyDescent="0.25">
      <c r="A28" s="1">
        <v>25</v>
      </c>
      <c r="B28" s="1">
        <v>1.9300000000000001E-3</v>
      </c>
    </row>
    <row r="29" spans="1:2" x14ac:dyDescent="0.25">
      <c r="A29" s="1">
        <v>26</v>
      </c>
      <c r="B29" s="1">
        <v>1.9599999999999999E-3</v>
      </c>
    </row>
    <row r="30" spans="1:2" x14ac:dyDescent="0.25">
      <c r="A30" s="1">
        <v>27</v>
      </c>
      <c r="B30" s="1">
        <v>1.99E-3</v>
      </c>
    </row>
    <row r="31" spans="1:2" x14ac:dyDescent="0.25">
      <c r="A31" s="1">
        <v>28</v>
      </c>
      <c r="B31" s="1">
        <v>2.0300000000000001E-3</v>
      </c>
    </row>
    <row r="32" spans="1:2" x14ac:dyDescent="0.25">
      <c r="A32" s="1">
        <v>29</v>
      </c>
      <c r="B32" s="1">
        <v>2.0799999999999998E-3</v>
      </c>
    </row>
    <row r="33" spans="1:2" x14ac:dyDescent="0.25">
      <c r="A33" s="1">
        <v>30</v>
      </c>
      <c r="B33" s="1">
        <v>2.1299999999999999E-3</v>
      </c>
    </row>
    <row r="34" spans="1:2" x14ac:dyDescent="0.25">
      <c r="A34" s="1">
        <v>31</v>
      </c>
      <c r="B34" s="1">
        <v>2.1900000000000001E-3</v>
      </c>
    </row>
    <row r="35" spans="1:2" x14ac:dyDescent="0.25">
      <c r="A35" s="1">
        <v>32</v>
      </c>
      <c r="B35" s="1">
        <v>2.2499999999999998E-3</v>
      </c>
    </row>
    <row r="36" spans="1:2" x14ac:dyDescent="0.25">
      <c r="A36" s="1">
        <v>33</v>
      </c>
      <c r="B36" s="1">
        <v>2.32E-3</v>
      </c>
    </row>
    <row r="37" spans="1:2" x14ac:dyDescent="0.25">
      <c r="A37" s="1">
        <v>34</v>
      </c>
      <c r="B37" s="1">
        <v>2.3999999999999998E-3</v>
      </c>
    </row>
    <row r="38" spans="1:2" x14ac:dyDescent="0.25">
      <c r="A38" s="1">
        <v>35</v>
      </c>
      <c r="B38" s="1">
        <v>2.5100000000000001E-3</v>
      </c>
    </row>
    <row r="39" spans="1:2" x14ac:dyDescent="0.25">
      <c r="A39" s="1">
        <v>36</v>
      </c>
      <c r="B39" s="1">
        <v>2.64E-3</v>
      </c>
    </row>
    <row r="40" spans="1:2" x14ac:dyDescent="0.25">
      <c r="A40" s="1">
        <v>37</v>
      </c>
      <c r="B40" s="1">
        <v>2.8E-3</v>
      </c>
    </row>
    <row r="41" spans="1:2" x14ac:dyDescent="0.25">
      <c r="A41" s="1">
        <v>38</v>
      </c>
      <c r="B41" s="1">
        <v>3.0100000000000001E-3</v>
      </c>
    </row>
    <row r="42" spans="1:2" x14ac:dyDescent="0.25">
      <c r="A42" s="1">
        <v>39</v>
      </c>
      <c r="B42" s="1">
        <v>3.2499999999999999E-3</v>
      </c>
    </row>
    <row r="43" spans="1:2" x14ac:dyDescent="0.25">
      <c r="A43" s="1">
        <v>40</v>
      </c>
      <c r="B43" s="1">
        <v>3.5300000000000002E-3</v>
      </c>
    </row>
    <row r="44" spans="1:2" x14ac:dyDescent="0.25">
      <c r="A44" s="1">
        <v>41</v>
      </c>
      <c r="B44" s="1">
        <v>3.8400000000000001E-3</v>
      </c>
    </row>
    <row r="45" spans="1:2" x14ac:dyDescent="0.25">
      <c r="A45" s="1">
        <v>42</v>
      </c>
      <c r="B45" s="1">
        <v>4.1700000000000001E-3</v>
      </c>
    </row>
    <row r="46" spans="1:2" x14ac:dyDescent="0.25">
      <c r="A46" s="1">
        <v>43</v>
      </c>
      <c r="B46" s="1">
        <v>4.5300000000000002E-3</v>
      </c>
    </row>
    <row r="47" spans="1:2" x14ac:dyDescent="0.25">
      <c r="A47" s="1">
        <v>44</v>
      </c>
      <c r="B47" s="1">
        <v>4.9199999999999999E-3</v>
      </c>
    </row>
    <row r="48" spans="1:2" x14ac:dyDescent="0.25">
      <c r="A48" s="1">
        <v>45</v>
      </c>
      <c r="B48" s="1">
        <v>5.3499999999999997E-3</v>
      </c>
    </row>
    <row r="49" spans="1:2" x14ac:dyDescent="0.25">
      <c r="A49" s="1">
        <v>46</v>
      </c>
      <c r="B49" s="1">
        <v>5.8300000000000001E-3</v>
      </c>
    </row>
    <row r="50" spans="1:2" x14ac:dyDescent="0.25">
      <c r="A50" s="1">
        <v>47</v>
      </c>
      <c r="B50" s="1">
        <v>6.3600000000000002E-3</v>
      </c>
    </row>
    <row r="51" spans="1:2" x14ac:dyDescent="0.25">
      <c r="A51" s="1">
        <v>48</v>
      </c>
      <c r="B51" s="1">
        <v>6.9499999999999996E-3</v>
      </c>
    </row>
    <row r="52" spans="1:2" x14ac:dyDescent="0.25">
      <c r="A52" s="1">
        <v>49</v>
      </c>
      <c r="B52" s="1">
        <v>7.6E-3</v>
      </c>
    </row>
    <row r="53" spans="1:2" x14ac:dyDescent="0.25">
      <c r="A53" s="1">
        <v>50</v>
      </c>
      <c r="B53" s="1">
        <v>8.3199999999999993E-3</v>
      </c>
    </row>
    <row r="54" spans="1:2" x14ac:dyDescent="0.25">
      <c r="A54" s="1">
        <v>51</v>
      </c>
      <c r="B54" s="1">
        <v>9.11E-3</v>
      </c>
    </row>
    <row r="55" spans="1:2" x14ac:dyDescent="0.25">
      <c r="A55" s="1">
        <v>52</v>
      </c>
      <c r="B55" s="1">
        <v>9.9600000000000001E-3</v>
      </c>
    </row>
    <row r="56" spans="1:2" x14ac:dyDescent="0.25">
      <c r="A56" s="1">
        <v>53</v>
      </c>
      <c r="B56" s="1">
        <v>1.089E-2</v>
      </c>
    </row>
    <row r="57" spans="1:2" x14ac:dyDescent="0.25">
      <c r="A57" s="1">
        <v>54</v>
      </c>
      <c r="B57" s="1">
        <v>1.1900000000000001E-2</v>
      </c>
    </row>
    <row r="58" spans="1:2" x14ac:dyDescent="0.25">
      <c r="A58" s="1">
        <v>55</v>
      </c>
      <c r="B58" s="1">
        <v>1.2999999999999999E-2</v>
      </c>
    </row>
    <row r="59" spans="1:2" x14ac:dyDescent="0.25">
      <c r="A59" s="1">
        <v>56</v>
      </c>
      <c r="B59" s="1">
        <v>1.421E-2</v>
      </c>
    </row>
    <row r="60" spans="1:2" x14ac:dyDescent="0.25">
      <c r="A60" s="1">
        <v>57</v>
      </c>
      <c r="B60" s="1">
        <v>1.554E-2</v>
      </c>
    </row>
    <row r="61" spans="1:2" x14ac:dyDescent="0.25">
      <c r="A61" s="1">
        <v>58</v>
      </c>
      <c r="B61" s="1">
        <v>1.7000000000000001E-2</v>
      </c>
    </row>
    <row r="62" spans="1:2" x14ac:dyDescent="0.25">
      <c r="A62" s="1">
        <v>59</v>
      </c>
      <c r="B62" s="1">
        <v>1.8589999999999999E-2</v>
      </c>
    </row>
    <row r="63" spans="1:2" x14ac:dyDescent="0.25">
      <c r="A63" s="1">
        <v>60</v>
      </c>
      <c r="B63" s="1">
        <v>2.034E-2</v>
      </c>
    </row>
    <row r="64" spans="1:2" x14ac:dyDescent="0.25">
      <c r="A64" s="1">
        <v>61</v>
      </c>
      <c r="B64" s="1">
        <v>2.2239999999999999E-2</v>
      </c>
    </row>
    <row r="65" spans="1:2" x14ac:dyDescent="0.25">
      <c r="A65" s="1">
        <v>62</v>
      </c>
      <c r="B65" s="1">
        <v>2.4309999999999998E-2</v>
      </c>
    </row>
    <row r="66" spans="1:2" x14ac:dyDescent="0.25">
      <c r="A66" s="1">
        <v>63</v>
      </c>
      <c r="B66" s="1">
        <v>2.657E-2</v>
      </c>
    </row>
    <row r="67" spans="1:2" x14ac:dyDescent="0.25">
      <c r="A67" s="1">
        <v>64</v>
      </c>
      <c r="B67" s="1">
        <v>2.904E-2</v>
      </c>
    </row>
    <row r="68" spans="1:2" x14ac:dyDescent="0.25">
      <c r="A68" s="1">
        <v>65</v>
      </c>
      <c r="B68" s="1">
        <v>3.175E-2</v>
      </c>
    </row>
    <row r="69" spans="1:2" x14ac:dyDescent="0.25">
      <c r="A69" s="1">
        <v>66</v>
      </c>
      <c r="B69" s="1">
        <v>3.474E-2</v>
      </c>
    </row>
    <row r="70" spans="1:2" x14ac:dyDescent="0.25">
      <c r="A70" s="1">
        <v>67</v>
      </c>
      <c r="B70" s="1">
        <v>3.8039999999999997E-2</v>
      </c>
    </row>
    <row r="71" spans="1:2" x14ac:dyDescent="0.25">
      <c r="A71" s="1">
        <v>68</v>
      </c>
      <c r="B71" s="1">
        <v>4.1680000000000002E-2</v>
      </c>
    </row>
    <row r="72" spans="1:2" x14ac:dyDescent="0.25">
      <c r="A72" s="1">
        <v>69</v>
      </c>
      <c r="B72" s="1">
        <v>4.5609999999999998E-2</v>
      </c>
    </row>
    <row r="73" spans="1:2" x14ac:dyDescent="0.25">
      <c r="A73" s="1">
        <v>70</v>
      </c>
      <c r="B73" s="1">
        <v>4.9790000000000001E-2</v>
      </c>
    </row>
    <row r="74" spans="1:2" x14ac:dyDescent="0.25">
      <c r="A74" s="1">
        <v>71</v>
      </c>
      <c r="B74" s="1">
        <v>5.4149999999999997E-2</v>
      </c>
    </row>
    <row r="75" spans="1:2" x14ac:dyDescent="0.25">
      <c r="A75" s="1">
        <v>72</v>
      </c>
      <c r="B75" s="1">
        <v>5.8650000000000001E-2</v>
      </c>
    </row>
    <row r="76" spans="1:2" x14ac:dyDescent="0.25">
      <c r="A76" s="1">
        <v>73</v>
      </c>
      <c r="B76" s="1">
        <v>6.3259999999999997E-2</v>
      </c>
    </row>
    <row r="77" spans="1:2" x14ac:dyDescent="0.25">
      <c r="A77" s="1">
        <v>74</v>
      </c>
      <c r="B77" s="1">
        <v>6.812E-2</v>
      </c>
    </row>
    <row r="78" spans="1:2" x14ac:dyDescent="0.25">
      <c r="A78" s="1">
        <v>75</v>
      </c>
      <c r="B78" s="1">
        <v>7.3370000000000005E-2</v>
      </c>
    </row>
    <row r="79" spans="1:2" x14ac:dyDescent="0.25">
      <c r="A79" s="1">
        <v>76</v>
      </c>
      <c r="B79" s="1">
        <v>7.918E-2</v>
      </c>
    </row>
    <row r="80" spans="1:2" x14ac:dyDescent="0.25">
      <c r="A80" s="1">
        <v>77</v>
      </c>
      <c r="B80" s="1">
        <v>8.5699999999999998E-2</v>
      </c>
    </row>
    <row r="81" spans="1:2" x14ac:dyDescent="0.25">
      <c r="A81" s="1">
        <v>78</v>
      </c>
      <c r="B81" s="1">
        <v>9.3060000000000004E-2</v>
      </c>
    </row>
    <row r="82" spans="1:2" x14ac:dyDescent="0.25">
      <c r="A82" s="1">
        <v>79</v>
      </c>
      <c r="B82" s="1">
        <v>0.10119</v>
      </c>
    </row>
    <row r="83" spans="1:2" x14ac:dyDescent="0.25">
      <c r="A83" s="1">
        <v>80</v>
      </c>
      <c r="B83" s="1">
        <v>0.10997999999999999</v>
      </c>
    </row>
    <row r="84" spans="1:2" x14ac:dyDescent="0.25">
      <c r="A84" s="1">
        <v>81</v>
      </c>
      <c r="B84" s="1">
        <v>0.11935</v>
      </c>
    </row>
    <row r="85" spans="1:2" x14ac:dyDescent="0.25">
      <c r="A85" s="1">
        <v>82</v>
      </c>
      <c r="B85" s="1">
        <v>0.12917000000000001</v>
      </c>
    </row>
    <row r="86" spans="1:2" x14ac:dyDescent="0.25">
      <c r="A86" s="1">
        <v>83</v>
      </c>
      <c r="B86" s="1">
        <v>0.13938</v>
      </c>
    </row>
    <row r="87" spans="1:2" x14ac:dyDescent="0.25">
      <c r="A87" s="1">
        <v>84</v>
      </c>
      <c r="B87" s="1">
        <v>0.15001</v>
      </c>
    </row>
    <row r="88" spans="1:2" x14ac:dyDescent="0.25">
      <c r="A88" s="1">
        <v>85</v>
      </c>
      <c r="B88" s="1">
        <v>0.16114000000000001</v>
      </c>
    </row>
    <row r="89" spans="1:2" x14ac:dyDescent="0.25">
      <c r="A89" s="1">
        <v>86</v>
      </c>
      <c r="B89" s="1">
        <v>0.17282</v>
      </c>
    </row>
    <row r="90" spans="1:2" x14ac:dyDescent="0.25">
      <c r="A90" s="1">
        <v>87</v>
      </c>
      <c r="B90" s="1">
        <v>0.18512999999999999</v>
      </c>
    </row>
    <row r="91" spans="1:2" x14ac:dyDescent="0.25">
      <c r="A91" s="1">
        <v>88</v>
      </c>
      <c r="B91" s="1">
        <v>0.19825000000000001</v>
      </c>
    </row>
    <row r="92" spans="1:2" x14ac:dyDescent="0.25">
      <c r="A92" s="1">
        <v>89</v>
      </c>
      <c r="B92" s="1">
        <v>0.21246000000000001</v>
      </c>
    </row>
    <row r="93" spans="1:2" x14ac:dyDescent="0.25">
      <c r="A93" s="1">
        <v>90</v>
      </c>
      <c r="B93" s="1">
        <v>0.22814000000000001</v>
      </c>
    </row>
    <row r="94" spans="1:2" x14ac:dyDescent="0.25">
      <c r="A94" s="1">
        <v>91</v>
      </c>
      <c r="B94" s="1">
        <v>0.24576999999999999</v>
      </c>
    </row>
    <row r="95" spans="1:2" x14ac:dyDescent="0.25">
      <c r="A95" s="1">
        <v>92</v>
      </c>
      <c r="B95" s="1">
        <v>0.26593</v>
      </c>
    </row>
    <row r="96" spans="1:2" x14ac:dyDescent="0.25">
      <c r="A96" s="1">
        <v>93</v>
      </c>
      <c r="B96" s="1">
        <v>0.2893</v>
      </c>
    </row>
    <row r="97" spans="1:2" x14ac:dyDescent="0.25">
      <c r="A97" s="1">
        <v>94</v>
      </c>
      <c r="B97" s="1">
        <v>0.31666</v>
      </c>
    </row>
    <row r="98" spans="1:2" x14ac:dyDescent="0.25">
      <c r="A98" s="1">
        <v>95</v>
      </c>
      <c r="B98" s="1">
        <v>0.35124</v>
      </c>
    </row>
    <row r="99" spans="1:2" x14ac:dyDescent="0.25">
      <c r="A99" s="1">
        <v>96</v>
      </c>
      <c r="B99" s="1">
        <v>0.40056000000000003</v>
      </c>
    </row>
    <row r="100" spans="1:2" x14ac:dyDescent="0.25">
      <c r="A100" s="1">
        <v>97</v>
      </c>
      <c r="B100" s="1">
        <v>0.48842000000000002</v>
      </c>
    </row>
    <row r="101" spans="1:2" x14ac:dyDescent="0.25">
      <c r="A101" s="1">
        <v>98</v>
      </c>
      <c r="B101" s="1">
        <v>0.66815000000000002</v>
      </c>
    </row>
    <row r="102" spans="1:2" x14ac:dyDescent="0.25">
      <c r="A102" s="1">
        <v>99</v>
      </c>
      <c r="B102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4CD0-1247-4949-9521-1E71DA6EF132}">
  <dimension ref="B2:H12"/>
  <sheetViews>
    <sheetView workbookViewId="0">
      <selection activeCell="H3" sqref="H3:H12"/>
    </sheetView>
  </sheetViews>
  <sheetFormatPr defaultRowHeight="15" x14ac:dyDescent="0.25"/>
  <cols>
    <col min="3" max="3" width="14.7109375" bestFit="1" customWidth="1"/>
    <col min="4" max="4" width="18" bestFit="1" customWidth="1"/>
    <col min="5" max="5" width="12" bestFit="1" customWidth="1"/>
    <col min="6" max="6" width="17" bestFit="1" customWidth="1"/>
    <col min="7" max="7" width="10.140625" bestFit="1" customWidth="1"/>
    <col min="8" max="8" width="14.28515625" bestFit="1" customWidth="1"/>
  </cols>
  <sheetData>
    <row r="2" spans="2:8" x14ac:dyDescent="0.25"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r="3" spans="2:8" x14ac:dyDescent="0.25">
      <c r="B3" s="3" t="s">
        <v>0</v>
      </c>
      <c r="C3">
        <v>13000000</v>
      </c>
      <c r="D3">
        <v>11000</v>
      </c>
      <c r="E3">
        <v>500000</v>
      </c>
      <c r="F3">
        <f>C3*0.05</f>
        <v>650000</v>
      </c>
      <c r="G3">
        <v>1500000</v>
      </c>
      <c r="H3">
        <f>SUM(C3:G3)</f>
        <v>15661000</v>
      </c>
    </row>
    <row r="4" spans="2:8" x14ac:dyDescent="0.25">
      <c r="B4" s="3" t="s">
        <v>1</v>
      </c>
      <c r="C4">
        <f>C3+2000000</f>
        <v>15000000</v>
      </c>
      <c r="D4">
        <v>11000</v>
      </c>
      <c r="E4">
        <f>E3*1.1</f>
        <v>550000</v>
      </c>
      <c r="F4">
        <f t="shared" ref="F4:F12" si="0">C4*0.05</f>
        <v>750000</v>
      </c>
      <c r="G4">
        <f>G3*1.05</f>
        <v>1575000</v>
      </c>
      <c r="H4">
        <f t="shared" ref="H4:H12" si="1">SUM(C4:G4)</f>
        <v>17886000</v>
      </c>
    </row>
    <row r="5" spans="2:8" x14ac:dyDescent="0.25">
      <c r="B5" s="3" t="s">
        <v>2</v>
      </c>
      <c r="C5">
        <f t="shared" ref="C5:C12" si="2">C4+2000000</f>
        <v>17000000</v>
      </c>
      <c r="D5">
        <v>11000</v>
      </c>
      <c r="E5">
        <f t="shared" ref="E5:E12" si="3">E4*1.1</f>
        <v>605000</v>
      </c>
      <c r="F5">
        <f t="shared" si="0"/>
        <v>850000</v>
      </c>
      <c r="G5">
        <f t="shared" ref="G5:G12" si="4">G4*1.05</f>
        <v>1653750</v>
      </c>
      <c r="H5">
        <f t="shared" si="1"/>
        <v>20119750</v>
      </c>
    </row>
    <row r="6" spans="2:8" x14ac:dyDescent="0.25">
      <c r="B6" s="3" t="s">
        <v>3</v>
      </c>
      <c r="C6">
        <f t="shared" si="2"/>
        <v>19000000</v>
      </c>
      <c r="D6">
        <v>11000</v>
      </c>
      <c r="E6">
        <f t="shared" si="3"/>
        <v>665500</v>
      </c>
      <c r="F6">
        <f t="shared" si="0"/>
        <v>950000</v>
      </c>
      <c r="G6">
        <f t="shared" si="4"/>
        <v>1736437.5</v>
      </c>
      <c r="H6">
        <f t="shared" si="1"/>
        <v>22362937.5</v>
      </c>
    </row>
    <row r="7" spans="2:8" x14ac:dyDescent="0.25">
      <c r="B7" s="3" t="s">
        <v>4</v>
      </c>
      <c r="C7">
        <f t="shared" si="2"/>
        <v>21000000</v>
      </c>
      <c r="D7">
        <v>11000</v>
      </c>
      <c r="E7">
        <f t="shared" si="3"/>
        <v>732050.00000000012</v>
      </c>
      <c r="F7">
        <f t="shared" si="0"/>
        <v>1050000</v>
      </c>
      <c r="G7">
        <f t="shared" si="4"/>
        <v>1823259.375</v>
      </c>
      <c r="H7">
        <f t="shared" si="1"/>
        <v>24616309.375</v>
      </c>
    </row>
    <row r="8" spans="2:8" x14ac:dyDescent="0.25">
      <c r="B8" s="3" t="s">
        <v>5</v>
      </c>
      <c r="C8">
        <f t="shared" si="2"/>
        <v>23000000</v>
      </c>
      <c r="D8">
        <v>11000</v>
      </c>
      <c r="E8">
        <f t="shared" si="3"/>
        <v>805255.00000000023</v>
      </c>
      <c r="F8">
        <f t="shared" si="0"/>
        <v>1150000</v>
      </c>
      <c r="G8">
        <f t="shared" si="4"/>
        <v>1914422.34375</v>
      </c>
      <c r="H8">
        <f t="shared" si="1"/>
        <v>26880677.34375</v>
      </c>
    </row>
    <row r="9" spans="2:8" x14ac:dyDescent="0.25">
      <c r="B9" s="3" t="s">
        <v>6</v>
      </c>
      <c r="C9">
        <f t="shared" si="2"/>
        <v>25000000</v>
      </c>
      <c r="D9">
        <v>11000</v>
      </c>
      <c r="E9">
        <f t="shared" si="3"/>
        <v>885780.50000000035</v>
      </c>
      <c r="F9">
        <f t="shared" si="0"/>
        <v>1250000</v>
      </c>
      <c r="G9">
        <f t="shared" si="4"/>
        <v>2010143.4609375</v>
      </c>
      <c r="H9">
        <f t="shared" si="1"/>
        <v>29156923.9609375</v>
      </c>
    </row>
    <row r="10" spans="2:8" x14ac:dyDescent="0.25">
      <c r="B10" s="3" t="s">
        <v>7</v>
      </c>
      <c r="C10">
        <f t="shared" si="2"/>
        <v>27000000</v>
      </c>
      <c r="D10">
        <v>11000</v>
      </c>
      <c r="E10">
        <f t="shared" si="3"/>
        <v>974358.55000000051</v>
      </c>
      <c r="F10">
        <f t="shared" si="0"/>
        <v>1350000</v>
      </c>
      <c r="G10">
        <f t="shared" si="4"/>
        <v>2110650.6339843753</v>
      </c>
      <c r="H10">
        <f t="shared" si="1"/>
        <v>31446009.183984376</v>
      </c>
    </row>
    <row r="11" spans="2:8" x14ac:dyDescent="0.25">
      <c r="B11" s="3" t="s">
        <v>8</v>
      </c>
      <c r="C11">
        <f t="shared" si="2"/>
        <v>29000000</v>
      </c>
      <c r="D11">
        <v>11000</v>
      </c>
      <c r="E11">
        <f t="shared" si="3"/>
        <v>1071794.4050000007</v>
      </c>
      <c r="F11">
        <f t="shared" si="0"/>
        <v>1450000</v>
      </c>
      <c r="G11">
        <f t="shared" si="4"/>
        <v>2216183.1656835941</v>
      </c>
      <c r="H11">
        <f t="shared" si="1"/>
        <v>33748977.570683599</v>
      </c>
    </row>
    <row r="12" spans="2:8" x14ac:dyDescent="0.25">
      <c r="B12" s="3" t="s">
        <v>9</v>
      </c>
      <c r="C12">
        <f t="shared" si="2"/>
        <v>31000000</v>
      </c>
      <c r="D12">
        <v>11000</v>
      </c>
      <c r="E12">
        <f t="shared" si="3"/>
        <v>1178973.845500001</v>
      </c>
      <c r="F12">
        <f t="shared" si="0"/>
        <v>1550000</v>
      </c>
      <c r="G12">
        <f t="shared" si="4"/>
        <v>2326992.3239677739</v>
      </c>
      <c r="H12">
        <f t="shared" si="1"/>
        <v>36066966.169467777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Reserves</vt:lpstr>
      <vt:lpstr>Expected Claims</vt:lpstr>
      <vt:lpstr>Expected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Agarwal</dc:creator>
  <cp:lastModifiedBy>Harsh Agarwal</cp:lastModifiedBy>
  <dcterms:created xsi:type="dcterms:W3CDTF">2025-12-12T06:42:05Z</dcterms:created>
  <dcterms:modified xsi:type="dcterms:W3CDTF">2025-12-13T13:00:50Z</dcterms:modified>
</cp:coreProperties>
</file>