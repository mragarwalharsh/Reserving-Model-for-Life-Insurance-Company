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7.xml" ContentType="application/vnd.openxmlformats-officedocument.spreadsheetml.table+xml"/>
  <Override PartName="/xl/queryTables/queryTable2.xml" ContentType="application/vnd.openxmlformats-officedocument.spreadsheetml.query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Files\Excel\Resume\Life Insurance\Pricing - Term Insurance\"/>
    </mc:Choice>
  </mc:AlternateContent>
  <xr:revisionPtr revIDLastSave="0" documentId="13_ncr:1_{84939B02-6D40-4BEB-A2B6-8AFA5F1D66DF}" xr6:coauthVersionLast="47" xr6:coauthVersionMax="47" xr10:uidLastSave="{00000000-0000-0000-0000-000000000000}"/>
  <bookViews>
    <workbookView xWindow="-120" yWindow="-120" windowWidth="20730" windowHeight="11160" xr2:uid="{A22C922E-C20B-4E74-93DF-C95A130AC802}"/>
  </bookViews>
  <sheets>
    <sheet name="Input Data" sheetId="1" r:id="rId1"/>
    <sheet name="Tables" sheetId="2" r:id="rId2"/>
    <sheet name="Premium Calulation" sheetId="3" r:id="rId3"/>
    <sheet name="Premium by Age" sheetId="7" r:id="rId4"/>
    <sheet name="Premium by Smoker Status" sheetId="8" r:id="rId5"/>
    <sheet name="High_Risk_Policies" sheetId="9" r:id="rId6"/>
  </sheets>
  <definedNames>
    <definedName name="expense_load">Tables!$B$2</definedName>
    <definedName name="ExternalData_1" localSheetId="5" hidden="1">High_Risk_Policies!$A$5:$E$42</definedName>
    <definedName name="ExternalData_1" localSheetId="2" hidden="1">'Premium Calulation'!$B$5:$F$106</definedName>
    <definedName name="int_rate">Tables!$B$1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9" l="1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I22" i="9" s="1"/>
  <c r="G23" i="9"/>
  <c r="G24" i="9"/>
  <c r="G25" i="9"/>
  <c r="G26" i="9"/>
  <c r="G27" i="9"/>
  <c r="G28" i="9"/>
  <c r="I28" i="9" s="1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I20" i="9" s="1"/>
  <c r="F21" i="9"/>
  <c r="F22" i="9"/>
  <c r="F23" i="9"/>
  <c r="F24" i="9"/>
  <c r="F25" i="9"/>
  <c r="F26" i="9"/>
  <c r="F27" i="9"/>
  <c r="F28" i="9"/>
  <c r="F29" i="9"/>
  <c r="F30" i="9"/>
  <c r="F31" i="9"/>
  <c r="F32" i="9"/>
  <c r="I32" i="9" s="1"/>
  <c r="F33" i="9"/>
  <c r="F34" i="9"/>
  <c r="F35" i="9"/>
  <c r="F36" i="9"/>
  <c r="I36" i="9" s="1"/>
  <c r="F37" i="9"/>
  <c r="F38" i="9"/>
  <c r="F39" i="9"/>
  <c r="F40" i="9"/>
  <c r="F41" i="9"/>
  <c r="F42" i="9"/>
  <c r="I40" i="9"/>
  <c r="I39" i="9"/>
  <c r="I38" i="9"/>
  <c r="I35" i="9"/>
  <c r="I34" i="9"/>
  <c r="I31" i="9"/>
  <c r="I30" i="9"/>
  <c r="I27" i="9"/>
  <c r="I24" i="9"/>
  <c r="I23" i="9"/>
  <c r="I19" i="9"/>
  <c r="I18" i="9"/>
  <c r="I16" i="9"/>
  <c r="I15" i="9"/>
  <c r="I14" i="9"/>
  <c r="I12" i="9"/>
  <c r="I11" i="9"/>
  <c r="I10" i="9"/>
  <c r="I8" i="9"/>
  <c r="I7" i="9"/>
  <c r="I6" i="9"/>
  <c r="G6" i="3"/>
  <c r="H6" i="3" s="1"/>
  <c r="I6" i="3" s="1"/>
  <c r="G7" i="3"/>
  <c r="H7" i="3" s="1"/>
  <c r="I7" i="3" s="1"/>
  <c r="G8" i="3"/>
  <c r="H8" i="3" s="1"/>
  <c r="I8" i="3" s="1"/>
  <c r="G9" i="3"/>
  <c r="H9" i="3" s="1"/>
  <c r="I9" i="3" s="1"/>
  <c r="G10" i="3"/>
  <c r="H10" i="3" s="1"/>
  <c r="I10" i="3" s="1"/>
  <c r="G11" i="3"/>
  <c r="H11" i="3" s="1"/>
  <c r="I11" i="3" s="1"/>
  <c r="G12" i="3"/>
  <c r="H12" i="3" s="1"/>
  <c r="I12" i="3" s="1"/>
  <c r="G13" i="3"/>
  <c r="H13" i="3" s="1"/>
  <c r="I13" i="3" s="1"/>
  <c r="G14" i="3"/>
  <c r="H14" i="3" s="1"/>
  <c r="I14" i="3" s="1"/>
  <c r="G15" i="3"/>
  <c r="H15" i="3" s="1"/>
  <c r="I15" i="3" s="1"/>
  <c r="G16" i="3"/>
  <c r="H16" i="3" s="1"/>
  <c r="I16" i="3" s="1"/>
  <c r="G17" i="3"/>
  <c r="H17" i="3" s="1"/>
  <c r="I17" i="3" s="1"/>
  <c r="G18" i="3"/>
  <c r="H18" i="3" s="1"/>
  <c r="I18" i="3" s="1"/>
  <c r="G19" i="3"/>
  <c r="H19" i="3" s="1"/>
  <c r="I19" i="3" s="1"/>
  <c r="G20" i="3"/>
  <c r="H20" i="3" s="1"/>
  <c r="I20" i="3" s="1"/>
  <c r="G21" i="3"/>
  <c r="H21" i="3" s="1"/>
  <c r="I21" i="3" s="1"/>
  <c r="G22" i="3"/>
  <c r="H22" i="3" s="1"/>
  <c r="I22" i="3" s="1"/>
  <c r="G23" i="3"/>
  <c r="H23" i="3" s="1"/>
  <c r="I23" i="3" s="1"/>
  <c r="G24" i="3"/>
  <c r="H24" i="3" s="1"/>
  <c r="I24" i="3" s="1"/>
  <c r="G25" i="3"/>
  <c r="H25" i="3" s="1"/>
  <c r="I25" i="3" s="1"/>
  <c r="G26" i="3"/>
  <c r="H26" i="3" s="1"/>
  <c r="I26" i="3" s="1"/>
  <c r="G27" i="3"/>
  <c r="H27" i="3" s="1"/>
  <c r="I27" i="3" s="1"/>
  <c r="G28" i="3"/>
  <c r="H28" i="3" s="1"/>
  <c r="I28" i="3" s="1"/>
  <c r="G29" i="3"/>
  <c r="H29" i="3" s="1"/>
  <c r="I29" i="3" s="1"/>
  <c r="G30" i="3"/>
  <c r="H30" i="3" s="1"/>
  <c r="I30" i="3" s="1"/>
  <c r="G31" i="3"/>
  <c r="H31" i="3" s="1"/>
  <c r="I31" i="3" s="1"/>
  <c r="G32" i="3"/>
  <c r="H32" i="3" s="1"/>
  <c r="I32" i="3" s="1"/>
  <c r="G33" i="3"/>
  <c r="H33" i="3" s="1"/>
  <c r="I33" i="3" s="1"/>
  <c r="G34" i="3"/>
  <c r="H34" i="3" s="1"/>
  <c r="I34" i="3" s="1"/>
  <c r="G35" i="3"/>
  <c r="H35" i="3" s="1"/>
  <c r="I35" i="3" s="1"/>
  <c r="G36" i="3"/>
  <c r="H36" i="3" s="1"/>
  <c r="I36" i="3" s="1"/>
  <c r="G37" i="3"/>
  <c r="H37" i="3" s="1"/>
  <c r="I37" i="3" s="1"/>
  <c r="G38" i="3"/>
  <c r="H38" i="3" s="1"/>
  <c r="I38" i="3" s="1"/>
  <c r="G39" i="3"/>
  <c r="H39" i="3" s="1"/>
  <c r="I39" i="3" s="1"/>
  <c r="G40" i="3"/>
  <c r="H40" i="3" s="1"/>
  <c r="I40" i="3" s="1"/>
  <c r="G41" i="3"/>
  <c r="H41" i="3" s="1"/>
  <c r="I41" i="3" s="1"/>
  <c r="G42" i="3"/>
  <c r="H42" i="3" s="1"/>
  <c r="I42" i="3" s="1"/>
  <c r="G43" i="3"/>
  <c r="H43" i="3" s="1"/>
  <c r="I43" i="3" s="1"/>
  <c r="G44" i="3"/>
  <c r="H44" i="3" s="1"/>
  <c r="I44" i="3" s="1"/>
  <c r="G45" i="3"/>
  <c r="H45" i="3" s="1"/>
  <c r="I45" i="3" s="1"/>
  <c r="G46" i="3"/>
  <c r="H46" i="3" s="1"/>
  <c r="I46" i="3" s="1"/>
  <c r="G47" i="3"/>
  <c r="H47" i="3" s="1"/>
  <c r="I47" i="3" s="1"/>
  <c r="G48" i="3"/>
  <c r="H48" i="3" s="1"/>
  <c r="I48" i="3" s="1"/>
  <c r="G49" i="3"/>
  <c r="H49" i="3" s="1"/>
  <c r="I49" i="3" s="1"/>
  <c r="G50" i="3"/>
  <c r="H50" i="3" s="1"/>
  <c r="I50" i="3" s="1"/>
  <c r="G51" i="3"/>
  <c r="H51" i="3" s="1"/>
  <c r="I51" i="3" s="1"/>
  <c r="G52" i="3"/>
  <c r="H52" i="3" s="1"/>
  <c r="I52" i="3" s="1"/>
  <c r="G53" i="3"/>
  <c r="H53" i="3" s="1"/>
  <c r="I53" i="3" s="1"/>
  <c r="G54" i="3"/>
  <c r="H54" i="3" s="1"/>
  <c r="I54" i="3" s="1"/>
  <c r="G55" i="3"/>
  <c r="H55" i="3" s="1"/>
  <c r="I55" i="3" s="1"/>
  <c r="G56" i="3"/>
  <c r="H56" i="3" s="1"/>
  <c r="I56" i="3" s="1"/>
  <c r="G57" i="3"/>
  <c r="H57" i="3" s="1"/>
  <c r="I57" i="3" s="1"/>
  <c r="G58" i="3"/>
  <c r="H58" i="3" s="1"/>
  <c r="I58" i="3" s="1"/>
  <c r="G59" i="3"/>
  <c r="H59" i="3" s="1"/>
  <c r="I59" i="3" s="1"/>
  <c r="G60" i="3"/>
  <c r="H60" i="3" s="1"/>
  <c r="I60" i="3" s="1"/>
  <c r="G61" i="3"/>
  <c r="H61" i="3" s="1"/>
  <c r="I61" i="3" s="1"/>
  <c r="G62" i="3"/>
  <c r="H62" i="3" s="1"/>
  <c r="I62" i="3" s="1"/>
  <c r="G63" i="3"/>
  <c r="H63" i="3" s="1"/>
  <c r="I63" i="3" s="1"/>
  <c r="G64" i="3"/>
  <c r="H64" i="3" s="1"/>
  <c r="I64" i="3" s="1"/>
  <c r="G65" i="3"/>
  <c r="H65" i="3" s="1"/>
  <c r="I65" i="3" s="1"/>
  <c r="G66" i="3"/>
  <c r="H66" i="3" s="1"/>
  <c r="I66" i="3" s="1"/>
  <c r="G67" i="3"/>
  <c r="H67" i="3" s="1"/>
  <c r="I67" i="3" s="1"/>
  <c r="G68" i="3"/>
  <c r="H68" i="3" s="1"/>
  <c r="I68" i="3" s="1"/>
  <c r="G69" i="3"/>
  <c r="H69" i="3" s="1"/>
  <c r="I69" i="3" s="1"/>
  <c r="G70" i="3"/>
  <c r="H70" i="3" s="1"/>
  <c r="I70" i="3" s="1"/>
  <c r="G71" i="3"/>
  <c r="H71" i="3" s="1"/>
  <c r="I71" i="3" s="1"/>
  <c r="G72" i="3"/>
  <c r="H72" i="3" s="1"/>
  <c r="I72" i="3" s="1"/>
  <c r="G73" i="3"/>
  <c r="H73" i="3" s="1"/>
  <c r="I73" i="3" s="1"/>
  <c r="G74" i="3"/>
  <c r="H74" i="3" s="1"/>
  <c r="I74" i="3" s="1"/>
  <c r="G75" i="3"/>
  <c r="H75" i="3" s="1"/>
  <c r="I75" i="3" s="1"/>
  <c r="G76" i="3"/>
  <c r="H76" i="3" s="1"/>
  <c r="I76" i="3" s="1"/>
  <c r="G77" i="3"/>
  <c r="H77" i="3" s="1"/>
  <c r="I77" i="3" s="1"/>
  <c r="G78" i="3"/>
  <c r="H78" i="3" s="1"/>
  <c r="I78" i="3" s="1"/>
  <c r="G79" i="3"/>
  <c r="H79" i="3" s="1"/>
  <c r="I79" i="3" s="1"/>
  <c r="G80" i="3"/>
  <c r="H80" i="3" s="1"/>
  <c r="I80" i="3" s="1"/>
  <c r="G81" i="3"/>
  <c r="H81" i="3" s="1"/>
  <c r="I81" i="3" s="1"/>
  <c r="G82" i="3"/>
  <c r="H82" i="3" s="1"/>
  <c r="I82" i="3" s="1"/>
  <c r="G83" i="3"/>
  <c r="H83" i="3" s="1"/>
  <c r="I83" i="3" s="1"/>
  <c r="G84" i="3"/>
  <c r="H84" i="3" s="1"/>
  <c r="I84" i="3" s="1"/>
  <c r="G85" i="3"/>
  <c r="H85" i="3" s="1"/>
  <c r="I85" i="3" s="1"/>
  <c r="G86" i="3"/>
  <c r="H86" i="3" s="1"/>
  <c r="I86" i="3" s="1"/>
  <c r="G87" i="3"/>
  <c r="H87" i="3" s="1"/>
  <c r="I87" i="3" s="1"/>
  <c r="G88" i="3"/>
  <c r="H88" i="3" s="1"/>
  <c r="I88" i="3" s="1"/>
  <c r="G89" i="3"/>
  <c r="H89" i="3" s="1"/>
  <c r="I89" i="3" s="1"/>
  <c r="G90" i="3"/>
  <c r="H90" i="3" s="1"/>
  <c r="I90" i="3" s="1"/>
  <c r="G91" i="3"/>
  <c r="H91" i="3" s="1"/>
  <c r="I91" i="3" s="1"/>
  <c r="G92" i="3"/>
  <c r="H92" i="3" s="1"/>
  <c r="I92" i="3" s="1"/>
  <c r="G93" i="3"/>
  <c r="H93" i="3" s="1"/>
  <c r="I93" i="3" s="1"/>
  <c r="G94" i="3"/>
  <c r="H94" i="3" s="1"/>
  <c r="I94" i="3" s="1"/>
  <c r="G95" i="3"/>
  <c r="H95" i="3" s="1"/>
  <c r="I95" i="3" s="1"/>
  <c r="G96" i="3"/>
  <c r="H96" i="3" s="1"/>
  <c r="I96" i="3" s="1"/>
  <c r="G97" i="3"/>
  <c r="H97" i="3" s="1"/>
  <c r="I97" i="3" s="1"/>
  <c r="G98" i="3"/>
  <c r="H98" i="3" s="1"/>
  <c r="I98" i="3" s="1"/>
  <c r="G99" i="3"/>
  <c r="H99" i="3" s="1"/>
  <c r="I99" i="3" s="1"/>
  <c r="G100" i="3"/>
  <c r="H100" i="3" s="1"/>
  <c r="I100" i="3" s="1"/>
  <c r="G101" i="3"/>
  <c r="H101" i="3" s="1"/>
  <c r="I101" i="3" s="1"/>
  <c r="G102" i="3"/>
  <c r="H102" i="3" s="1"/>
  <c r="I102" i="3" s="1"/>
  <c r="G103" i="3"/>
  <c r="H103" i="3" s="1"/>
  <c r="I103" i="3" s="1"/>
  <c r="G104" i="3"/>
  <c r="H104" i="3" s="1"/>
  <c r="I104" i="3" s="1"/>
  <c r="G105" i="3"/>
  <c r="H105" i="3" s="1"/>
  <c r="I105" i="3" s="1"/>
  <c r="I42" i="9" l="1"/>
  <c r="I26" i="9"/>
  <c r="I41" i="9"/>
  <c r="I37" i="9"/>
  <c r="I33" i="9"/>
  <c r="I29" i="9"/>
  <c r="I25" i="9"/>
  <c r="I21" i="9"/>
  <c r="I17" i="9"/>
  <c r="I13" i="9"/>
  <c r="I9" i="9"/>
  <c r="J101" i="3"/>
  <c r="J93" i="3"/>
  <c r="J102" i="3"/>
  <c r="J78" i="3"/>
  <c r="J14" i="3"/>
  <c r="J69" i="3"/>
  <c r="J53" i="3"/>
  <c r="J29" i="3"/>
  <c r="J13" i="3"/>
  <c r="J70" i="3"/>
  <c r="J30" i="3"/>
  <c r="J85" i="3"/>
  <c r="J86" i="3"/>
  <c r="J22" i="3"/>
  <c r="J34" i="3"/>
  <c r="J26" i="3"/>
  <c r="J105" i="3"/>
  <c r="J98" i="3"/>
  <c r="J97" i="3"/>
  <c r="J90" i="3"/>
  <c r="J82" i="3"/>
  <c r="J81" i="3"/>
  <c r="J74" i="3"/>
  <c r="J73" i="3"/>
  <c r="J66" i="3"/>
  <c r="J65" i="3"/>
  <c r="J58" i="3"/>
  <c r="J50" i="3"/>
  <c r="J49" i="3"/>
  <c r="J42" i="3"/>
  <c r="J41" i="3"/>
  <c r="J33" i="3"/>
  <c r="J25" i="3"/>
  <c r="J18" i="3"/>
  <c r="J10" i="3"/>
  <c r="J9" i="3"/>
  <c r="J6" i="3"/>
  <c r="J94" i="3"/>
  <c r="J62" i="3"/>
  <c r="J54" i="3"/>
  <c r="J46" i="3"/>
  <c r="J38" i="3"/>
  <c r="J104" i="3"/>
  <c r="J103" i="3"/>
  <c r="J100" i="3"/>
  <c r="J99" i="3"/>
  <c r="J96" i="3"/>
  <c r="J95" i="3"/>
  <c r="J92" i="3"/>
  <c r="J91" i="3"/>
  <c r="J88" i="3"/>
  <c r="J87" i="3"/>
  <c r="J84" i="3"/>
  <c r="J83" i="3"/>
  <c r="J80" i="3"/>
  <c r="J79" i="3"/>
  <c r="J76" i="3"/>
  <c r="J75" i="3"/>
  <c r="J72" i="3"/>
  <c r="J71" i="3"/>
  <c r="J68" i="3"/>
  <c r="J67" i="3"/>
  <c r="J64" i="3"/>
  <c r="J63" i="3"/>
  <c r="J60" i="3"/>
  <c r="J59" i="3"/>
  <c r="J56" i="3"/>
  <c r="J55" i="3"/>
  <c r="J52" i="3"/>
  <c r="J51" i="3"/>
  <c r="J48" i="3"/>
  <c r="J47" i="3"/>
  <c r="J44" i="3"/>
  <c r="J43" i="3"/>
  <c r="J40" i="3"/>
  <c r="J39" i="3"/>
  <c r="J36" i="3"/>
  <c r="J35" i="3"/>
  <c r="J32" i="3"/>
  <c r="J31" i="3"/>
  <c r="J28" i="3"/>
  <c r="J27" i="3"/>
  <c r="J24" i="3"/>
  <c r="J23" i="3"/>
  <c r="J20" i="3"/>
  <c r="J19" i="3"/>
  <c r="J16" i="3"/>
  <c r="J15" i="3"/>
  <c r="J12" i="3"/>
  <c r="J11" i="3"/>
  <c r="J8" i="3"/>
  <c r="J7" i="3"/>
  <c r="J89" i="3"/>
  <c r="J77" i="3"/>
  <c r="J61" i="3"/>
  <c r="J57" i="3"/>
  <c r="J45" i="3"/>
  <c r="J37" i="3"/>
  <c r="J21" i="3"/>
  <c r="J1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E4AB0A-6EAC-479E-A4EC-39154559A8C6}" keepAlive="1" name="Query - High_Risk_Policies" description="Connection to the 'High_Risk_Policies' query in the workbook." type="5" refreshedVersion="8" background="1" saveData="1">
    <dbPr connection="Provider=Microsoft.Mashup.OleDb.1;Data Source=$Workbook$;Location=High_Risk_Policies;Extended Properties=&quot;&quot;" command="SELECT * FROM [High_Risk_Policies]"/>
  </connection>
  <connection id="2" xr16:uid="{0F94A2E9-C2DE-4CDB-9568-7C12F89E6AD1}" keepAlive="1" name="Query - Policyholder_Data" description="Connection to the 'Policyholder_Data' query in the workbook." type="5" refreshedVersion="8" background="1" saveData="1">
    <dbPr connection="Provider=Microsoft.Mashup.OleDb.1;Data Source=$Workbook$;Location=Policyholder_Data;Extended Properties=&quot;&quot;" command="SELECT * FROM [Policyholder_Data]"/>
  </connection>
</connections>
</file>

<file path=xl/sharedStrings.xml><?xml version="1.0" encoding="utf-8"?>
<sst xmlns="http://schemas.openxmlformats.org/spreadsheetml/2006/main" count="760" uniqueCount="125">
  <si>
    <t>Policy ID</t>
  </si>
  <si>
    <t>Age</t>
  </si>
  <si>
    <t>Gender</t>
  </si>
  <si>
    <t>Smoker Status</t>
  </si>
  <si>
    <t>Face Amount</t>
  </si>
  <si>
    <t>POL-001</t>
  </si>
  <si>
    <t>POL-002</t>
  </si>
  <si>
    <t>POL-003</t>
  </si>
  <si>
    <t>POL-004</t>
  </si>
  <si>
    <t>POL-005</t>
  </si>
  <si>
    <t>POL-006</t>
  </si>
  <si>
    <t>POL-007</t>
  </si>
  <si>
    <t>POL-008</t>
  </si>
  <si>
    <t>POL-009</t>
  </si>
  <si>
    <t>POL-010</t>
  </si>
  <si>
    <t>POL-011</t>
  </si>
  <si>
    <t>POL-012</t>
  </si>
  <si>
    <t>POL-013</t>
  </si>
  <si>
    <t>POL-014</t>
  </si>
  <si>
    <t>POL-015</t>
  </si>
  <si>
    <t>POL-016</t>
  </si>
  <si>
    <t>POL-017</t>
  </si>
  <si>
    <t>POL-018</t>
  </si>
  <si>
    <t>POL-019</t>
  </si>
  <si>
    <t>POL-020</t>
  </si>
  <si>
    <t>POL-021</t>
  </si>
  <si>
    <t>POL-022</t>
  </si>
  <si>
    <t>POL-023</t>
  </si>
  <si>
    <t>POL-024</t>
  </si>
  <si>
    <t>POL-025</t>
  </si>
  <si>
    <t>POL-026</t>
  </si>
  <si>
    <t>POL-027</t>
  </si>
  <si>
    <t>POL-028</t>
  </si>
  <si>
    <t>POL-029</t>
  </si>
  <si>
    <t>POL-030</t>
  </si>
  <si>
    <t>POL-031</t>
  </si>
  <si>
    <t>POL-032</t>
  </si>
  <si>
    <t>POL-033</t>
  </si>
  <si>
    <t>POL-034</t>
  </si>
  <si>
    <t>POL-035</t>
  </si>
  <si>
    <t>POL-036</t>
  </si>
  <si>
    <t>POL-037</t>
  </si>
  <si>
    <t>POL-038</t>
  </si>
  <si>
    <t>POL-039</t>
  </si>
  <si>
    <t>POL-040</t>
  </si>
  <si>
    <t>POL-041</t>
  </si>
  <si>
    <t>POL-042</t>
  </si>
  <si>
    <t>POL-043</t>
  </si>
  <si>
    <t>POL-044</t>
  </si>
  <si>
    <t>POL-045</t>
  </si>
  <si>
    <t>POL-046</t>
  </si>
  <si>
    <t>POL-047</t>
  </si>
  <si>
    <t>POL-048</t>
  </si>
  <si>
    <t>POL-049</t>
  </si>
  <si>
    <t>POL-050</t>
  </si>
  <si>
    <t>POL-051</t>
  </si>
  <si>
    <t>POL-052</t>
  </si>
  <si>
    <t>POL-053</t>
  </si>
  <si>
    <t>POL-054</t>
  </si>
  <si>
    <t>POL-055</t>
  </si>
  <si>
    <t>POL-056</t>
  </si>
  <si>
    <t>POL-057</t>
  </si>
  <si>
    <t>POL-058</t>
  </si>
  <si>
    <t>POL-059</t>
  </si>
  <si>
    <t>POL-060</t>
  </si>
  <si>
    <t>POL-061</t>
  </si>
  <si>
    <t>POL-062</t>
  </si>
  <si>
    <t>POL-063</t>
  </si>
  <si>
    <t>POL-064</t>
  </si>
  <si>
    <t>POL-065</t>
  </si>
  <si>
    <t>POL-066</t>
  </si>
  <si>
    <t>POL-067</t>
  </si>
  <si>
    <t>POL-068</t>
  </si>
  <si>
    <t>POL-069</t>
  </si>
  <si>
    <t>POL-070</t>
  </si>
  <si>
    <t>POL-071</t>
  </si>
  <si>
    <t>POL-072</t>
  </si>
  <si>
    <t>POL-073</t>
  </si>
  <si>
    <t>POL-074</t>
  </si>
  <si>
    <t>POL-075</t>
  </si>
  <si>
    <t>POL-076</t>
  </si>
  <si>
    <t>POL-077</t>
  </si>
  <si>
    <t>POL-078</t>
  </si>
  <si>
    <t>POL-079</t>
  </si>
  <si>
    <t>POL-080</t>
  </si>
  <si>
    <t>POL-081</t>
  </si>
  <si>
    <t>POL-082</t>
  </si>
  <si>
    <t>POL-083</t>
  </si>
  <si>
    <t>POL-084</t>
  </si>
  <si>
    <t>POL-085</t>
  </si>
  <si>
    <t>POL-086</t>
  </si>
  <si>
    <t>POL-087</t>
  </si>
  <si>
    <t>POL-088</t>
  </si>
  <si>
    <t>POL-089</t>
  </si>
  <si>
    <t>POL-090</t>
  </si>
  <si>
    <t>POL-091</t>
  </si>
  <si>
    <t>POL-092</t>
  </si>
  <si>
    <t>POL-093</t>
  </si>
  <si>
    <t>POL-094</t>
  </si>
  <si>
    <t>POL-095</t>
  </si>
  <si>
    <t>POL-096</t>
  </si>
  <si>
    <t>POL-097</t>
  </si>
  <si>
    <t>POL-098</t>
  </si>
  <si>
    <t>POL-099</t>
  </si>
  <si>
    <t>POL-100</t>
  </si>
  <si>
    <t>Male</t>
  </si>
  <si>
    <t>Female</t>
  </si>
  <si>
    <t>Non-Smoker</t>
  </si>
  <si>
    <t>Smoker</t>
  </si>
  <si>
    <t>int_rate</t>
  </si>
  <si>
    <t>qx​</t>
  </si>
  <si>
    <t>expense_load</t>
  </si>
  <si>
    <t>Mortality</t>
  </si>
  <si>
    <t>Smoker Adjustment</t>
  </si>
  <si>
    <t>Gross Premium</t>
  </si>
  <si>
    <t>Grand Total</t>
  </si>
  <si>
    <t>20-29</t>
  </si>
  <si>
    <t>30-40</t>
  </si>
  <si>
    <t>Average of Gross Premium</t>
  </si>
  <si>
    <t>Age Bands</t>
  </si>
  <si>
    <t>User is allowed it manipulate this data only</t>
  </si>
  <si>
    <t>Net Single Premium</t>
  </si>
  <si>
    <t xml:space="preserve">Password </t>
  </si>
  <si>
    <t>HarshAgarwal</t>
  </si>
  <si>
    <t>For these High Risk Policies, a Premium Review is need to be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</si>
</sst>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9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164" fontId="0" fillId="2" borderId="0" xfId="0" applyNumberFormat="1" applyFill="1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numFmt numFmtId="164" formatCode="&quot;$&quot;#,##0"/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[Version 1.xlsx]Premium by Age!PivotTable4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Premium by 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'Premium by Age'!$B$3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'Premium by Age'!$A$4:$A$6</c:f>
              <c:strCache>
                <c:ptCount val="2"/>
                <c:pt idx="0">
                  <c:v>20-29</c:v>
                </c:pt>
                <c:pt idx="1">
                  <c:v>30-40</c:v>
                </c:pt>
              </c:strCache>
            </c:strRef>
          </c:cat>
          <c:val>
            <c:numRef>
              <c:f>'Premium by Age'!$B$4:$B$6</c:f>
              <c:numCache>
                <c:formatCode>General</c:formatCode>
                <c:ptCount val="2"/>
                <c:pt idx="0">
                  <c:v>82.148201165501163</c:v>
                </c:pt>
                <c:pt idx="1">
                  <c:v>95.843966951566941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D4-4901-81A1-CC4EA0003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9073071"/>
        <c:axId val="469074991"/>
      </c:barChart>
      <c:catAx>
        <c:axId val="46907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074991"/>
        <c:crosses val="autoZero"/>
        <c:auto val="1"/>
        <c:lblAlgn val="ctr"/>
        <c:lblOffset val="100"/>
        <c:noMultiLvlLbl val="0"/>
      </c:catAx>
      <c:valAx>
        <c:axId val="469074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07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[Version 1.xlsx]Premium by Smoker Status!PivotTable5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Premium by Smoker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'Premium by Smoker Status'!$B$3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'Premium by Smoker Status'!$A$4:$A$6</c:f>
              <c:strCache>
                <c:ptCount val="2"/>
                <c:pt idx="0">
                  <c:v>Non-Smoker</c:v>
                </c:pt>
                <c:pt idx="1">
                  <c:v>Smoker</c:v>
                </c:pt>
              </c:strCache>
            </c:strRef>
          </c:cat>
          <c:val>
            <c:numRef>
              <c:f>'Premium by Smoker Status'!$B$4:$B$6</c:f>
              <c:numCache>
                <c:formatCode>General</c:formatCode>
                <c:ptCount val="2"/>
                <c:pt idx="0">
                  <c:v>79.786932892628187</c:v>
                </c:pt>
                <c:pt idx="1">
                  <c:v>122.40874727564101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DE-4350-B641-AB464C6C3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9074511"/>
        <c:axId val="355694191"/>
      </c:barChart>
      <c:catAx>
        <c:axId val="469074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694191"/>
        <c:crosses val="autoZero"/>
        <c:auto val="1"/>
        <c:lblAlgn val="ctr"/>
        <c:lblOffset val="100"/>
        <c:noMultiLvlLbl val="0"/>
      </c:catAx>
      <c:valAx>
        <c:axId val="355694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07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838200</xdr:colOff>
      <xdr:row>7</xdr:row>
      <xdr:rowOff>14287</xdr:rowOff>
    </xdr:from>
    <xdr:to>
      <xdr:col>8</xdr:col>
      <xdr:colOff>85725</xdr:colOff>
      <xdr:row>21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FD6461-BD86-CAAD-01CA-96BA02BA4B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4</xdr:row>
      <xdr:rowOff>33337</xdr:rowOff>
    </xdr:from>
    <xdr:to>
      <xdr:col>9</xdr:col>
      <xdr:colOff>314325</xdr:colOff>
      <xdr:row>18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C736A1-0FF0-3A76-73EF-A889EF319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05.525279861111" createdVersion="8" refreshedVersion="8" minRefreshableVersion="3" recordCount="100" xr:uid="{6E010F0E-D14B-4A97-9EAE-45F2625A54AC}">
  <cacheSource type="worksheet">
    <worksheetSource ref="B5:J105" sheet="Premium Calulation"/>
  </cacheSource>
  <cacheFields count="9">
    <cacheField name="Policy ID" numFmtId="0">
      <sharedItems/>
    </cacheField>
    <cacheField name="Age" numFmtId="0">
      <sharedItems containsSemiMixedTypes="0" containsString="0" containsNumber="1" containsInteger="1" minValue="20" maxValue="40" count="21">
        <n v="28"/>
        <n v="24"/>
        <n v="31"/>
        <n v="38"/>
        <n v="27"/>
        <n v="21"/>
        <n v="32"/>
        <n v="36"/>
        <n v="34"/>
        <n v="20"/>
        <n v="25"/>
        <n v="23"/>
        <n v="33"/>
        <n v="40"/>
        <n v="30"/>
        <n v="39"/>
        <n v="35"/>
        <n v="22"/>
        <n v="29"/>
        <n v="26"/>
        <n v="37"/>
      </sharedItems>
      <fieldGroup base="1">
        <rangePr startNum="20" endNum="40" groupInterval="10"/>
        <groupItems count="4">
          <s v="&lt;20"/>
          <s v="20-29"/>
          <s v="30-40"/>
          <s v="&gt;40"/>
        </groupItems>
      </fieldGroup>
    </cacheField>
    <cacheField name="Gender" numFmtId="0">
      <sharedItems/>
    </cacheField>
    <cacheField name="Smoker Status" numFmtId="0">
      <sharedItems count="2">
        <s v="Non-Smoker"/>
        <s v="Smoker"/>
      </sharedItems>
    </cacheField>
    <cacheField name="Face Amount" numFmtId="0">
      <sharedItems containsSemiMixedTypes="0" containsString="0" containsNumber="1" containsInteger="1" minValue="251930" maxValue="994764"/>
    </cacheField>
    <cacheField name="Mortality" numFmtId="0">
      <sharedItems containsSemiMixedTypes="0" containsString="0" containsNumber="1" minValue="1E-4" maxValue="1.7200000000000001E-4"/>
    </cacheField>
    <cacheField name="Net Single Premium" numFmtId="0">
      <sharedItems containsSemiMixedTypes="0" containsString="0" containsNumber="1" minValue="25.572811538461536" maxValue="136.08127307692308"/>
    </cacheField>
    <cacheField name="Smoker Adjustment" numFmtId="0">
      <sharedItems containsSemiMixedTypes="0" containsString="0" containsNumber="1" minValue="25.572811538461536" maxValue="180.28988365384618"/>
    </cacheField>
    <cacheField name="Gross Premium" numFmtId="0">
      <sharedItems containsSemiMixedTypes="0" containsString="0" containsNumber="1" minValue="28.41423504273504" maxValue="200.322092948717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POL-001"/>
    <x v="0"/>
    <s v="Male"/>
    <x v="0"/>
    <n v="919270"/>
    <n v="1.1599999999999999E-4"/>
    <n v="102.53396153846153"/>
    <n v="102.53396153846153"/>
    <n v="113.92662393162391"/>
  </r>
  <r>
    <s v="POL-002"/>
    <x v="1"/>
    <s v="Female"/>
    <x v="1"/>
    <n v="692994"/>
    <n v="1.06E-4"/>
    <n v="70.632080769230768"/>
    <n v="105.94812115384616"/>
    <n v="117.72013461538462"/>
  </r>
  <r>
    <s v="POL-003"/>
    <x v="2"/>
    <s v="Female"/>
    <x v="0"/>
    <n v="812925"/>
    <n v="1.13E-4"/>
    <n v="88.327427884615375"/>
    <n v="88.327427884615375"/>
    <n v="98.141586538461524"/>
  </r>
  <r>
    <s v="POL-004"/>
    <x v="0"/>
    <s v="Female"/>
    <x v="0"/>
    <n v="936704"/>
    <n v="1.1599999999999999E-4"/>
    <n v="104.47852307692305"/>
    <n v="104.47852307692305"/>
    <n v="116.08724786324784"/>
  </r>
  <r>
    <s v="POL-005"/>
    <x v="3"/>
    <s v="Male"/>
    <x v="0"/>
    <n v="726353"/>
    <n v="1.4899999999999999E-4"/>
    <n v="104.06403557692306"/>
    <n v="104.06403557692306"/>
    <n v="115.62670619658118"/>
  </r>
  <r>
    <s v="POL-006"/>
    <x v="4"/>
    <s v="Male"/>
    <x v="0"/>
    <n v="490699"/>
    <n v="1.17E-4"/>
    <n v="55.203637499999992"/>
    <n v="55.203637499999992"/>
    <n v="61.337374999999987"/>
  </r>
  <r>
    <s v="POL-007"/>
    <x v="5"/>
    <s v="Female"/>
    <x v="0"/>
    <n v="581895"/>
    <n v="1.01E-4"/>
    <n v="56.510956730769223"/>
    <n v="56.510956730769223"/>
    <n v="62.789951923076913"/>
  </r>
  <r>
    <s v="POL-008"/>
    <x v="6"/>
    <s v="Male"/>
    <x v="0"/>
    <n v="752816"/>
    <n v="1.1399999999999999E-4"/>
    <n v="82.520215384615369"/>
    <n v="82.520215384615369"/>
    <n v="91.689128205128185"/>
  </r>
  <r>
    <s v="POL-009"/>
    <x v="4"/>
    <s v="Female"/>
    <x v="0"/>
    <n v="691117"/>
    <n v="1.17E-4"/>
    <n v="77.75066249999999"/>
    <n v="77.75066249999999"/>
    <n v="86.389624999999981"/>
  </r>
  <r>
    <s v="POL-010"/>
    <x v="4"/>
    <s v="Female"/>
    <x v="1"/>
    <n v="849232"/>
    <n v="1.17E-4"/>
    <n v="95.538599999999988"/>
    <n v="143.30789999999999"/>
    <n v="159.23099999999999"/>
  </r>
  <r>
    <s v="POL-011"/>
    <x v="7"/>
    <s v="Female"/>
    <x v="1"/>
    <n v="453104"/>
    <n v="1.3100000000000001E-4"/>
    <n v="57.073676923076924"/>
    <n v="85.610515384615383"/>
    <n v="95.122794871794866"/>
  </r>
  <r>
    <s v="POL-012"/>
    <x v="8"/>
    <s v="Male"/>
    <x v="0"/>
    <n v="891982"/>
    <n v="1.1899999999999999E-4"/>
    <n v="102.06332499999998"/>
    <n v="102.06332499999998"/>
    <n v="113.40369444444441"/>
  </r>
  <r>
    <s v="POL-013"/>
    <x v="2"/>
    <s v="Male"/>
    <x v="0"/>
    <n v="336480"/>
    <n v="1.13E-4"/>
    <n v="36.559846153846145"/>
    <n v="36.559846153846145"/>
    <n v="40.622051282051274"/>
  </r>
  <r>
    <s v="POL-014"/>
    <x v="9"/>
    <s v="Female"/>
    <x v="0"/>
    <n v="613806"/>
    <n v="1E-4"/>
    <n v="59.019807692307687"/>
    <n v="59.019807692307687"/>
    <n v="65.577564102564097"/>
  </r>
  <r>
    <s v="POL-015"/>
    <x v="9"/>
    <s v="Male"/>
    <x v="0"/>
    <n v="292082"/>
    <n v="1E-4"/>
    <n v="28.084807692307692"/>
    <n v="28.084807692307692"/>
    <n v="31.20534188034188"/>
  </r>
  <r>
    <s v="POL-016"/>
    <x v="10"/>
    <s v="Female"/>
    <x v="0"/>
    <n v="816539"/>
    <n v="1.0900000000000001E-4"/>
    <n v="85.579568269230762"/>
    <n v="85.579568269230762"/>
    <n v="95.088409188034177"/>
  </r>
  <r>
    <s v="POL-017"/>
    <x v="1"/>
    <s v="Female"/>
    <x v="1"/>
    <n v="708323"/>
    <n v="1.06E-4"/>
    <n v="72.194459615384616"/>
    <n v="108.29168942307692"/>
    <n v="120.32409935897435"/>
  </r>
  <r>
    <s v="POL-018"/>
    <x v="11"/>
    <s v="Female"/>
    <x v="0"/>
    <n v="376348"/>
    <n v="1.0400000000000001E-4"/>
    <n v="37.634800000000006"/>
    <n v="37.634800000000006"/>
    <n v="41.81644444444445"/>
  </r>
  <r>
    <s v="POL-019"/>
    <x v="6"/>
    <s v="Male"/>
    <x v="0"/>
    <n v="913426"/>
    <n v="1.1399999999999999E-4"/>
    <n v="100.12554230769229"/>
    <n v="100.12554230769229"/>
    <n v="111.25060256410254"/>
  </r>
  <r>
    <s v="POL-020"/>
    <x v="8"/>
    <s v="Male"/>
    <x v="0"/>
    <n v="616795"/>
    <n v="1.1899999999999999E-4"/>
    <n v="70.575581730769215"/>
    <n v="70.575581730769215"/>
    <n v="78.417313034188012"/>
  </r>
  <r>
    <s v="POL-021"/>
    <x v="3"/>
    <s v="Female"/>
    <x v="0"/>
    <n v="915754"/>
    <n v="1.4899999999999999E-4"/>
    <n v="131.19937115384613"/>
    <n v="131.19937115384613"/>
    <n v="145.77707905982902"/>
  </r>
  <r>
    <s v="POL-022"/>
    <x v="5"/>
    <s v="Male"/>
    <x v="0"/>
    <n v="809352"/>
    <n v="1.01E-4"/>
    <n v="78.600530769230758"/>
    <n v="78.600530769230758"/>
    <n v="87.333923076923057"/>
  </r>
  <r>
    <s v="POL-023"/>
    <x v="9"/>
    <s v="Female"/>
    <x v="0"/>
    <n v="916041"/>
    <n v="1E-4"/>
    <n v="88.080865384615379"/>
    <n v="88.080865384615379"/>
    <n v="97.867628205128199"/>
  </r>
  <r>
    <s v="POL-024"/>
    <x v="12"/>
    <s v="Female"/>
    <x v="0"/>
    <n v="539848"/>
    <n v="1.1599999999999999E-4"/>
    <n v="60.213815384615373"/>
    <n v="60.213815384615373"/>
    <n v="66.904239316239298"/>
  </r>
  <r>
    <s v="POL-025"/>
    <x v="1"/>
    <s v="Female"/>
    <x v="1"/>
    <n v="929438"/>
    <n v="1.06E-4"/>
    <n v="94.731180769230761"/>
    <n v="142.09677115384613"/>
    <n v="157.88530128205124"/>
  </r>
  <r>
    <s v="POL-026"/>
    <x v="0"/>
    <s v="Male"/>
    <x v="1"/>
    <n v="335081"/>
    <n v="1.1599999999999999E-4"/>
    <n v="37.37441923076922"/>
    <n v="56.06162884615383"/>
    <n v="62.2906987179487"/>
  </r>
  <r>
    <s v="POL-027"/>
    <x v="13"/>
    <s v="Male"/>
    <x v="0"/>
    <n v="271706"/>
    <n v="1.7200000000000001E-4"/>
    <n v="44.935992307692302"/>
    <n v="44.935992307692302"/>
    <n v="49.928880341880337"/>
  </r>
  <r>
    <s v="POL-028"/>
    <x v="14"/>
    <s v="Female"/>
    <x v="0"/>
    <n v="307803"/>
    <n v="1.1399999999999999E-4"/>
    <n v="33.739944230769225"/>
    <n v="33.739944230769225"/>
    <n v="37.488826923076914"/>
  </r>
  <r>
    <s v="POL-029"/>
    <x v="1"/>
    <s v="Male"/>
    <x v="0"/>
    <n v="494320"/>
    <n v="1.06E-4"/>
    <n v="50.382615384615377"/>
    <n v="50.382615384615377"/>
    <n v="55.980683760683753"/>
  </r>
  <r>
    <s v="POL-030"/>
    <x v="5"/>
    <s v="Female"/>
    <x v="0"/>
    <n v="263324"/>
    <n v="1.01E-4"/>
    <n v="25.572811538461536"/>
    <n v="25.572811538461536"/>
    <n v="28.41423504273504"/>
  </r>
  <r>
    <s v="POL-031"/>
    <x v="13"/>
    <s v="Female"/>
    <x v="0"/>
    <n v="822817"/>
    <n v="1.7200000000000001E-4"/>
    <n v="136.08127307692308"/>
    <n v="136.08127307692308"/>
    <n v="151.20141452991453"/>
  </r>
  <r>
    <s v="POL-032"/>
    <x v="13"/>
    <s v="Female"/>
    <x v="1"/>
    <n v="390131"/>
    <n v="1.7200000000000001E-4"/>
    <n v="64.521665384615375"/>
    <n v="96.782498076923062"/>
    <n v="107.53610897435895"/>
  </r>
  <r>
    <s v="POL-033"/>
    <x v="14"/>
    <s v="Male"/>
    <x v="0"/>
    <n v="809494"/>
    <n v="1.1399999999999999E-4"/>
    <n v="88.732996153846145"/>
    <n v="88.732996153846145"/>
    <n v="98.592217948717931"/>
  </r>
  <r>
    <s v="POL-034"/>
    <x v="6"/>
    <s v="Male"/>
    <x v="0"/>
    <n v="411599"/>
    <n v="1.1399999999999999E-4"/>
    <n v="45.117582692307685"/>
    <n v="45.117582692307685"/>
    <n v="50.13064743589743"/>
  </r>
  <r>
    <s v="POL-035"/>
    <x v="0"/>
    <s v="Female"/>
    <x v="0"/>
    <n v="305088"/>
    <n v="1.1599999999999999E-4"/>
    <n v="34.029046153846146"/>
    <n v="34.029046153846146"/>
    <n v="37.810051282051269"/>
  </r>
  <r>
    <s v="POL-036"/>
    <x v="15"/>
    <s v="Male"/>
    <x v="0"/>
    <n v="384713"/>
    <n v="1.5900000000000002E-4"/>
    <n v="58.816699038461543"/>
    <n v="58.816699038461543"/>
    <n v="65.351887820512829"/>
  </r>
  <r>
    <s v="POL-037"/>
    <x v="1"/>
    <s v="Female"/>
    <x v="0"/>
    <n v="362477"/>
    <n v="1.06E-4"/>
    <n v="36.944771153846148"/>
    <n v="36.944771153846148"/>
    <n v="41.049745726495722"/>
  </r>
  <r>
    <s v="POL-038"/>
    <x v="0"/>
    <s v="Female"/>
    <x v="0"/>
    <n v="385952"/>
    <n v="1.1599999999999999E-4"/>
    <n v="43.0484923076923"/>
    <n v="43.0484923076923"/>
    <n v="47.831658119658108"/>
  </r>
  <r>
    <s v="POL-039"/>
    <x v="5"/>
    <s v="Female"/>
    <x v="0"/>
    <n v="290227"/>
    <n v="1.01E-4"/>
    <n v="28.18550673076923"/>
    <n v="28.18550673076923"/>
    <n v="31.3172297008547"/>
  </r>
  <r>
    <s v="POL-040"/>
    <x v="14"/>
    <s v="Male"/>
    <x v="1"/>
    <n v="983536"/>
    <n v="1.1399999999999999E-4"/>
    <n v="107.81067692307691"/>
    <n v="161.71601538461536"/>
    <n v="179.68446153846151"/>
  </r>
  <r>
    <s v="POL-041"/>
    <x v="7"/>
    <s v="Male"/>
    <x v="1"/>
    <n v="395684"/>
    <n v="1.3100000000000001E-4"/>
    <n v="49.840965384615387"/>
    <n v="74.761448076923074"/>
    <n v="83.068275641025636"/>
  </r>
  <r>
    <s v="POL-042"/>
    <x v="13"/>
    <s v="Female"/>
    <x v="0"/>
    <n v="641496"/>
    <n v="1.7200000000000001E-4"/>
    <n v="106.09356923076922"/>
    <n v="106.09356923076922"/>
    <n v="117.88174358974358"/>
  </r>
  <r>
    <s v="POL-043"/>
    <x v="13"/>
    <s v="Male"/>
    <x v="0"/>
    <n v="680902"/>
    <n v="1.7200000000000001E-4"/>
    <n v="112.61071538461538"/>
    <n v="112.61071538461538"/>
    <n v="125.12301709401709"/>
  </r>
  <r>
    <s v="POL-044"/>
    <x v="16"/>
    <s v="Female"/>
    <x v="0"/>
    <n v="891574"/>
    <n v="1.2400000000000001E-4"/>
    <n v="106.30305384615384"/>
    <n v="106.30305384615384"/>
    <n v="118.11450427350427"/>
  </r>
  <r>
    <s v="POL-045"/>
    <x v="17"/>
    <s v="Female"/>
    <x v="0"/>
    <n v="770892"/>
    <n v="1.02E-4"/>
    <n v="75.60671538461537"/>
    <n v="75.60671538461537"/>
    <n v="84.007461538461527"/>
  </r>
  <r>
    <s v="POL-046"/>
    <x v="9"/>
    <s v="Female"/>
    <x v="0"/>
    <n v="765993"/>
    <n v="1E-4"/>
    <n v="73.653173076923068"/>
    <n v="73.653173076923068"/>
    <n v="81.836858974358961"/>
  </r>
  <r>
    <s v="POL-047"/>
    <x v="0"/>
    <s v="Male"/>
    <x v="1"/>
    <n v="937375"/>
    <n v="1.1599999999999999E-4"/>
    <n v="104.55336538461536"/>
    <n v="156.83004807692305"/>
    <n v="174.25560897435895"/>
  </r>
  <r>
    <s v="POL-048"/>
    <x v="12"/>
    <s v="Male"/>
    <x v="0"/>
    <n v="982491"/>
    <n v="1.1599999999999999E-4"/>
    <n v="109.5855346153846"/>
    <n v="109.5855346153846"/>
    <n v="121.76170512820511"/>
  </r>
  <r>
    <s v="POL-049"/>
    <x v="9"/>
    <s v="Female"/>
    <x v="0"/>
    <n v="467892"/>
    <n v="1E-4"/>
    <n v="44.989615384615384"/>
    <n v="44.989615384615384"/>
    <n v="49.988461538461536"/>
  </r>
  <r>
    <s v="POL-050"/>
    <x v="5"/>
    <s v="Male"/>
    <x v="0"/>
    <n v="816099"/>
    <n v="1.01E-4"/>
    <n v="79.255768269230771"/>
    <n v="79.255768269230771"/>
    <n v="88.061964743589741"/>
  </r>
  <r>
    <s v="POL-051"/>
    <x v="10"/>
    <s v="Female"/>
    <x v="0"/>
    <n v="654222"/>
    <n v="1.0900000000000001E-4"/>
    <n v="68.567498076923073"/>
    <n v="68.567498076923073"/>
    <n v="76.186108974358973"/>
  </r>
  <r>
    <s v="POL-052"/>
    <x v="3"/>
    <s v="Female"/>
    <x v="0"/>
    <n v="635113"/>
    <n v="1.4899999999999999E-4"/>
    <n v="90.992150961538442"/>
    <n v="90.992150961538442"/>
    <n v="101.10238995726493"/>
  </r>
  <r>
    <s v="POL-053"/>
    <x v="18"/>
    <s v="Female"/>
    <x v="0"/>
    <n v="596962"/>
    <n v="1.1499999999999999E-4"/>
    <n v="66.010221153846146"/>
    <n v="66.010221153846146"/>
    <n v="73.344690170940154"/>
  </r>
  <r>
    <s v="POL-054"/>
    <x v="3"/>
    <s v="Male"/>
    <x v="0"/>
    <n v="463856"/>
    <n v="1.4899999999999999E-4"/>
    <n v="66.456292307692294"/>
    <n v="66.456292307692294"/>
    <n v="73.840324786324771"/>
  </r>
  <r>
    <s v="POL-055"/>
    <x v="17"/>
    <s v="Male"/>
    <x v="1"/>
    <n v="614519"/>
    <n v="1.02E-4"/>
    <n v="60.270132692307683"/>
    <n v="90.405199038461518"/>
    <n v="100.45022115384613"/>
  </r>
  <r>
    <s v="POL-056"/>
    <x v="7"/>
    <s v="Female"/>
    <x v="1"/>
    <n v="954206"/>
    <n v="1.3100000000000001E-4"/>
    <n v="120.19325576923077"/>
    <n v="180.28988365384618"/>
    <n v="200.32209294871797"/>
  </r>
  <r>
    <s v="POL-057"/>
    <x v="8"/>
    <s v="Male"/>
    <x v="0"/>
    <n v="897195"/>
    <n v="1.1899999999999999E-4"/>
    <n v="102.65981249999999"/>
    <n v="102.65981249999999"/>
    <n v="114.06645833333332"/>
  </r>
  <r>
    <s v="POL-058"/>
    <x v="14"/>
    <s v="Female"/>
    <x v="0"/>
    <n v="409714"/>
    <n v="1.1399999999999999E-4"/>
    <n v="44.910957692307683"/>
    <n v="44.910957692307683"/>
    <n v="49.901064102564092"/>
  </r>
  <r>
    <s v="POL-059"/>
    <x v="12"/>
    <s v="Female"/>
    <x v="0"/>
    <n v="954214"/>
    <n v="1.1599999999999999E-4"/>
    <n v="106.43156153846151"/>
    <n v="106.43156153846151"/>
    <n v="118.25729059829057"/>
  </r>
  <r>
    <s v="POL-060"/>
    <x v="7"/>
    <s v="Female"/>
    <x v="0"/>
    <n v="852408"/>
    <n v="1.3100000000000001E-4"/>
    <n v="107.37062307692308"/>
    <n v="107.37062307692308"/>
    <n v="119.30069230769232"/>
  </r>
  <r>
    <s v="POL-061"/>
    <x v="0"/>
    <s v="Male"/>
    <x v="0"/>
    <n v="672963"/>
    <n v="1.1599999999999999E-4"/>
    <n v="75.061257692307677"/>
    <n v="75.061257692307677"/>
    <n v="83.401397435897422"/>
  </r>
  <r>
    <s v="POL-062"/>
    <x v="12"/>
    <s v="Male"/>
    <x v="1"/>
    <n v="382266"/>
    <n v="1.1599999999999999E-4"/>
    <n v="42.637361538461533"/>
    <n v="63.9560423076923"/>
    <n v="71.062269230769218"/>
  </r>
  <r>
    <s v="POL-063"/>
    <x v="9"/>
    <s v="Female"/>
    <x v="0"/>
    <n v="319763"/>
    <n v="1E-4"/>
    <n v="30.746442307692305"/>
    <n v="30.746442307692305"/>
    <n v="34.162713675213674"/>
  </r>
  <r>
    <s v="POL-064"/>
    <x v="19"/>
    <s v="Male"/>
    <x v="0"/>
    <n v="251930"/>
    <n v="1.1399999999999999E-4"/>
    <n v="27.615403846153843"/>
    <n v="27.615403846153843"/>
    <n v="30.683782051282048"/>
  </r>
  <r>
    <s v="POL-065"/>
    <x v="9"/>
    <s v="Female"/>
    <x v="0"/>
    <n v="631239"/>
    <n v="1E-4"/>
    <n v="60.69605769230769"/>
    <n v="60.69605769230769"/>
    <n v="67.440064102564094"/>
  </r>
  <r>
    <s v="POL-066"/>
    <x v="5"/>
    <s v="Female"/>
    <x v="0"/>
    <n v="972160"/>
    <n v="1.01E-4"/>
    <n v="94.411692307692292"/>
    <n v="94.411692307692292"/>
    <n v="104.90188034188031"/>
  </r>
  <r>
    <s v="POL-067"/>
    <x v="4"/>
    <s v="Female"/>
    <x v="0"/>
    <n v="356256"/>
    <n v="1.17E-4"/>
    <n v="40.078800000000001"/>
    <n v="40.078800000000001"/>
    <n v="44.532000000000004"/>
  </r>
  <r>
    <s v="POL-068"/>
    <x v="17"/>
    <s v="Male"/>
    <x v="0"/>
    <n v="277247"/>
    <n v="1.02E-4"/>
    <n v="27.191532692307689"/>
    <n v="27.191532692307689"/>
    <n v="30.212814102564099"/>
  </r>
  <r>
    <s v="POL-069"/>
    <x v="14"/>
    <s v="Male"/>
    <x v="0"/>
    <n v="407907"/>
    <n v="1.1399999999999999E-4"/>
    <n v="44.71288269230768"/>
    <n v="44.71288269230768"/>
    <n v="49.680980769230757"/>
  </r>
  <r>
    <s v="POL-070"/>
    <x v="17"/>
    <s v="Female"/>
    <x v="1"/>
    <n v="649781"/>
    <n v="1.02E-4"/>
    <n v="63.728521153846152"/>
    <n v="95.592781730769232"/>
    <n v="106.21420192307693"/>
  </r>
  <r>
    <s v="POL-071"/>
    <x v="17"/>
    <s v="Male"/>
    <x v="1"/>
    <n v="690276"/>
    <n v="1.02E-4"/>
    <n v="67.700146153846148"/>
    <n v="101.55021923076922"/>
    <n v="112.8335769230769"/>
  </r>
  <r>
    <s v="POL-072"/>
    <x v="15"/>
    <s v="Female"/>
    <x v="0"/>
    <n v="885500"/>
    <n v="1.5900000000000002E-4"/>
    <n v="135.37932692307695"/>
    <n v="135.37932692307695"/>
    <n v="150.42147435897439"/>
  </r>
  <r>
    <s v="POL-073"/>
    <x v="11"/>
    <s v="Female"/>
    <x v="0"/>
    <n v="596372"/>
    <n v="1.0400000000000001E-4"/>
    <n v="59.6372"/>
    <n v="59.6372"/>
    <n v="66.263555555555556"/>
  </r>
  <r>
    <s v="POL-074"/>
    <x v="3"/>
    <s v="Female"/>
    <x v="0"/>
    <n v="319960"/>
    <n v="1.4899999999999999E-4"/>
    <n v="45.840423076923074"/>
    <n v="45.840423076923074"/>
    <n v="50.933803418803414"/>
  </r>
  <r>
    <s v="POL-075"/>
    <x v="10"/>
    <s v="Male"/>
    <x v="0"/>
    <n v="400032"/>
    <n v="1.0900000000000001E-4"/>
    <n v="41.92643076923077"/>
    <n v="41.92643076923077"/>
    <n v="46.584923076923076"/>
  </r>
  <r>
    <s v="POL-076"/>
    <x v="0"/>
    <s v="Male"/>
    <x v="0"/>
    <n v="505504"/>
    <n v="1.1599999999999999E-4"/>
    <n v="56.383138461538451"/>
    <n v="56.383138461538451"/>
    <n v="62.647931623931612"/>
  </r>
  <r>
    <s v="POL-077"/>
    <x v="19"/>
    <s v="Female"/>
    <x v="1"/>
    <n v="298959"/>
    <n v="1.1399999999999999E-4"/>
    <n v="32.770505769230766"/>
    <n v="49.155758653846149"/>
    <n v="54.617509615384606"/>
  </r>
  <r>
    <s v="POL-078"/>
    <x v="15"/>
    <s v="Male"/>
    <x v="0"/>
    <n v="706125"/>
    <n v="1.5900000000000002E-4"/>
    <n v="107.95564903846154"/>
    <n v="107.95564903846154"/>
    <n v="119.95072115384616"/>
  </r>
  <r>
    <s v="POL-079"/>
    <x v="20"/>
    <s v="Female"/>
    <x v="0"/>
    <n v="335977"/>
    <n v="1.3899999999999999E-4"/>
    <n v="44.90461826923076"/>
    <n v="44.90461826923076"/>
    <n v="49.894020299145289"/>
  </r>
  <r>
    <s v="POL-080"/>
    <x v="7"/>
    <s v="Female"/>
    <x v="0"/>
    <n v="568767"/>
    <n v="1.3100000000000001E-4"/>
    <n v="71.642766346153849"/>
    <n v="71.642766346153849"/>
    <n v="79.603073717948718"/>
  </r>
  <r>
    <s v="POL-081"/>
    <x v="14"/>
    <s v="Female"/>
    <x v="0"/>
    <n v="791969"/>
    <n v="1.1399999999999999E-4"/>
    <n v="86.811986538461525"/>
    <n v="86.811986538461525"/>
    <n v="96.457762820512798"/>
  </r>
  <r>
    <s v="POL-082"/>
    <x v="4"/>
    <s v="Male"/>
    <x v="0"/>
    <n v="797355"/>
    <n v="1.17E-4"/>
    <n v="89.702437499999988"/>
    <n v="89.702437499999988"/>
    <n v="99.669374999999988"/>
  </r>
  <r>
    <s v="POL-083"/>
    <x v="7"/>
    <s v="Male"/>
    <x v="0"/>
    <n v="321588"/>
    <n v="1.3100000000000001E-4"/>
    <n v="40.507719230769233"/>
    <n v="40.507719230769233"/>
    <n v="45.008576923076923"/>
  </r>
  <r>
    <s v="POL-084"/>
    <x v="17"/>
    <s v="Female"/>
    <x v="0"/>
    <n v="892946"/>
    <n v="1.02E-4"/>
    <n v="87.577396153846138"/>
    <n v="87.577396153846138"/>
    <n v="97.308217948717925"/>
  </r>
  <r>
    <s v="POL-085"/>
    <x v="1"/>
    <s v="Male"/>
    <x v="1"/>
    <n v="655453"/>
    <n v="1.06E-4"/>
    <n v="66.805786538461533"/>
    <n v="100.20867980769231"/>
    <n v="111.34297756410255"/>
  </r>
  <r>
    <s v="POL-086"/>
    <x v="0"/>
    <s v="Female"/>
    <x v="1"/>
    <n v="976299"/>
    <n v="1.1599999999999999E-4"/>
    <n v="108.89488846153844"/>
    <n v="163.34233269230765"/>
    <n v="181.49148076923072"/>
  </r>
  <r>
    <s v="POL-087"/>
    <x v="2"/>
    <s v="Female"/>
    <x v="0"/>
    <n v="842500"/>
    <n v="1.13E-4"/>
    <n v="91.540865384615373"/>
    <n v="91.540865384615373"/>
    <n v="101.71207264957263"/>
  </r>
  <r>
    <s v="POL-088"/>
    <x v="18"/>
    <s v="Female"/>
    <x v="0"/>
    <n v="325409"/>
    <n v="1.1499999999999999E-4"/>
    <n v="35.982725961538449"/>
    <n v="35.982725961538449"/>
    <n v="39.980806623931606"/>
  </r>
  <r>
    <s v="POL-089"/>
    <x v="2"/>
    <s v="Male"/>
    <x v="0"/>
    <n v="839283"/>
    <n v="1.13E-4"/>
    <n v="91.191325961538453"/>
    <n v="91.191325961538453"/>
    <n v="101.32369551282051"/>
  </r>
  <r>
    <s v="POL-090"/>
    <x v="1"/>
    <s v="Male"/>
    <x v="0"/>
    <n v="915888"/>
    <n v="1.06E-4"/>
    <n v="93.350123076923069"/>
    <n v="93.350123076923069"/>
    <n v="103.72235897435897"/>
  </r>
  <r>
    <s v="POL-091"/>
    <x v="7"/>
    <s v="Female"/>
    <x v="0"/>
    <n v="605999"/>
    <n v="1.3100000000000001E-4"/>
    <n v="76.332566346153854"/>
    <n v="76.332566346153854"/>
    <n v="84.81396260683762"/>
  </r>
  <r>
    <s v="POL-092"/>
    <x v="4"/>
    <s v="Male"/>
    <x v="1"/>
    <n v="994764"/>
    <n v="1.17E-4"/>
    <n v="111.91094999999999"/>
    <n v="167.86642499999999"/>
    <n v="186.51824999999999"/>
  </r>
  <r>
    <s v="POL-093"/>
    <x v="19"/>
    <s v="Female"/>
    <x v="0"/>
    <n v="915044"/>
    <n v="1.1399999999999999E-4"/>
    <n v="100.30289999999999"/>
    <n v="100.30289999999999"/>
    <n v="111.44766666666666"/>
  </r>
  <r>
    <s v="POL-094"/>
    <x v="3"/>
    <s v="Female"/>
    <x v="0"/>
    <n v="700055"/>
    <n v="1.4899999999999999E-4"/>
    <n v="100.29634134615384"/>
    <n v="100.29634134615384"/>
    <n v="111.44037927350426"/>
  </r>
  <r>
    <s v="POL-095"/>
    <x v="5"/>
    <s v="Female"/>
    <x v="0"/>
    <n v="523554"/>
    <n v="1.01E-4"/>
    <n v="50.845148076923074"/>
    <n v="50.845148076923074"/>
    <n v="56.494608974358968"/>
  </r>
  <r>
    <s v="POL-096"/>
    <x v="10"/>
    <s v="Male"/>
    <x v="0"/>
    <n v="745174"/>
    <n v="1.0900000000000001E-4"/>
    <n v="78.09996730769231"/>
    <n v="78.09996730769231"/>
    <n v="86.777741452991449"/>
  </r>
  <r>
    <s v="POL-097"/>
    <x v="19"/>
    <s v="Male"/>
    <x v="0"/>
    <n v="700284"/>
    <n v="1.1399999999999999E-4"/>
    <n v="76.761899999999983"/>
    <n v="76.761899999999983"/>
    <n v="85.290999999999983"/>
  </r>
  <r>
    <s v="POL-098"/>
    <x v="14"/>
    <s v="Female"/>
    <x v="0"/>
    <n v="990431"/>
    <n v="1.1399999999999999E-4"/>
    <n v="108.56647499999998"/>
    <n v="108.56647499999998"/>
    <n v="120.62941666666664"/>
  </r>
  <r>
    <s v="POL-099"/>
    <x v="3"/>
    <s v="Male"/>
    <x v="0"/>
    <n v="254021"/>
    <n v="1.4899999999999999E-4"/>
    <n v="36.393393269230764"/>
    <n v="36.393393269230764"/>
    <n v="40.437103632478625"/>
  </r>
  <r>
    <s v="POL-100"/>
    <x v="5"/>
    <s v="Female"/>
    <x v="1"/>
    <n v="409022"/>
    <n v="1.01E-4"/>
    <n v="39.722328846153843"/>
    <n v="59.583493269230765"/>
    <n v="66.20388141025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1ECE47-5717-4625-B75D-E6CD0FD5DE8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Age Bands">
  <location ref="A3:B6" firstHeaderRow="1" firstDataRow="1" firstDataCol="1"/>
  <pivotFields count="9"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3">
    <i>
      <x v="1"/>
    </i>
    <i>
      <x v="2"/>
    </i>
    <i t="grand">
      <x/>
    </i>
  </rowItems>
  <colItems count="1">
    <i/>
  </colItems>
  <dataFields count="1">
    <dataField name="Average of Gross Premium" fld="8" subtotal="average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239300-F172-40B0-A31F-557F024521F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Smoker Status">
  <location ref="A3:B6" firstHeaderRow="1" firstDataRow="1" firstDataCol="1"/>
  <pivotFields count="9"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Average of Gross Premium" fld="8" subtotal="average" baseField="3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BF547C6-FE60-455B-B0A8-489C17857E0C}" autoFormatId="16" applyNumberFormats="0" applyBorderFormats="0" applyFontFormats="0" applyPatternFormats="0" applyAlignmentFormats="0" applyWidthHeightFormats="0">
  <queryTableRefresh nextId="6">
    <queryTableFields count="5">
      <queryTableField id="1" name="Policy ID" tableColumnId="1"/>
      <queryTableField id="2" name="Age" tableColumnId="2"/>
      <queryTableField id="3" name="Gender" tableColumnId="3"/>
      <queryTableField id="4" name="Smoker Status" tableColumnId="4"/>
      <queryTableField id="5" name="Face Amoun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2DF02D3-8B77-432B-8AE3-88A45A35D2A7}" autoFormatId="16" applyNumberFormats="0" applyBorderFormats="0" applyFontFormats="0" applyPatternFormats="0" applyAlignmentFormats="0" applyWidthHeightFormats="0">
  <queryTableRefresh nextId="6">
    <queryTableFields count="5">
      <queryTableField id="1" name="Policy ID" tableColumnId="1"/>
      <queryTableField id="2" name="Age" tableColumnId="2"/>
      <queryTableField id="3" name="Gender" tableColumnId="3"/>
      <queryTableField id="4" name="Smoker Status" tableColumnId="4"/>
      <queryTableField id="5" name="Face Amount" tableColumnId="5"/>
    </queryTableFields>
  </queryTableRefresh>
</queryTable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845905E-7C33-485D-8B97-C389DF5EB467}" name="Policyholder_Data" displayName="Policyholder_Data" ref="B7:F108" totalsRowShown="0" dataDxfId="18">
  <autoFilter ref="B7:F108" xr:uid="{E845905E-7C33-485D-8B97-C389DF5EB467}"/>
  <tableColumns count="5">
    <tableColumn id="1" xr3:uid="{E3465D1F-3BFC-44DE-BCDB-A4A487C49189}" name="Policy ID" dataDxfId="17"/>
    <tableColumn id="2" xr3:uid="{A3A7E4C6-A470-467F-A79D-2AF951C01BD4}" name="Age" dataDxfId="16"/>
    <tableColumn id="3" xr3:uid="{321EABEA-853E-4340-8373-146361F5C3AB}" name="Gender" dataDxfId="15"/>
    <tableColumn id="4" xr3:uid="{5D51CBE2-1C7D-44A7-8A0A-EA6211751EDF}" name="Smoker Status" dataDxfId="14"/>
    <tableColumn id="5" xr3:uid="{E600F4B0-EE9B-419A-83F8-49A74A6E7301}" name="Face Amount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C34428-3574-4897-8405-6965A468F0F4}" name="mort_table" displayName="mort_table" ref="A5:B125" totalsRowShown="0">
  <autoFilter ref="A5:B125" xr:uid="{92C34428-3574-4897-8405-6965A468F0F4}"/>
  <tableColumns count="2">
    <tableColumn id="1" xr3:uid="{D3DA368B-8294-44F4-A625-CCF7AA607AF8}" name="Age" dataDxfId="12"/>
    <tableColumn id="2" xr3:uid="{00C8B3C0-E7F3-41EB-BB96-034F66476724}" name="qx​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3AE12F-9C5D-4529-BFA2-909C0E0D2705}" name="Table4" displayName="Table4" ref="D5:D7" totalsRowShown="0">
  <autoFilter ref="D5:D7" xr:uid="{D93AE12F-9C5D-4529-BFA2-909C0E0D2705}"/>
  <tableColumns count="1">
    <tableColumn id="1" xr3:uid="{5E9A4097-22F3-470B-9077-8C72D6F49A81}" name="Smoker 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525203D-4EE2-4527-810F-96AC39656761}" name="Table6" displayName="Table6" ref="F5:F7" totalsRowShown="0">
  <autoFilter ref="F5:F7" xr:uid="{F525203D-4EE2-4527-810F-96AC39656761}"/>
  <tableColumns count="1">
    <tableColumn id="1" xr3:uid="{6161FAD0-234B-42B1-AB55-8BD7BC32D147}" name="Gend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2CE7AB-53E8-4F63-A129-E7E5DA6BA333}" name="Premium_Data" displayName="Premium_Data" ref="G5:J105" totalsRowShown="0">
  <autoFilter ref="G5:J105" xr:uid="{962CE7AB-53E8-4F63-A129-E7E5DA6BA333}"/>
  <tableColumns count="4">
    <tableColumn id="6" xr3:uid="{6AD60D56-9538-4964-A844-7DF749E18F8C}" name="Mortality" dataDxfId="11">
      <calculatedColumnFormula>INDEX(mort_table[],MATCH(Policyholder_Data__2[[#This Row],[Age]],mort_table[Age],0),2)</calculatedColumnFormula>
    </tableColumn>
    <tableColumn id="7" xr3:uid="{5741A499-2614-48D7-A624-FDF4F3501E6B}" name="Net Single Premium" dataDxfId="10">
      <calculatedColumnFormula>Policyholder_Data__2[[#This Row],[Face Amount]]*G6*((1+int_rate)^-1)</calculatedColumnFormula>
    </tableColumn>
    <tableColumn id="8" xr3:uid="{D95F6833-A8EB-415F-91E3-1002EB007328}" name="Smoker Adjustment" dataDxfId="9">
      <calculatedColumnFormula>IF(Policyholder_Data__2[[#This Row],[Smoker Status]]="Smoker",H6*1.5,H6)</calculatedColumnFormula>
    </tableColumn>
    <tableColumn id="9" xr3:uid="{E6B53969-8E8E-4099-A0C1-0DB965DC8173}" name="Gross Premium">
      <calculatedColumnFormula>I6/(1-expense_load)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29725CB-4177-45AA-8937-E02043D88203}" name="Policyholder_Data__2" displayName="Policyholder_Data__2" ref="B5:F106" tableType="queryTable" totalsRowShown="0">
  <autoFilter ref="B5:F106" xr:uid="{729725CB-4177-45AA-8937-E02043D88203}"/>
  <tableColumns count="5">
    <tableColumn id="1" xr3:uid="{A491EB33-A71E-489E-973F-16C5D2E354D2}" uniqueName="1" name="Policy ID" queryTableFieldId="1" dataDxfId="8"/>
    <tableColumn id="2" xr3:uid="{FFA8E390-FBEE-43E3-9F5E-35549039EE00}" uniqueName="2" name="Age" queryTableFieldId="2"/>
    <tableColumn id="3" xr3:uid="{73CC3EC1-70CA-4E3F-B4F9-2925940DD1CD}" uniqueName="3" name="Gender" queryTableFieldId="3" dataDxfId="7"/>
    <tableColumn id="4" xr3:uid="{19EFA562-0445-4946-9DF0-32056BAD9E58}" uniqueName="4" name="Smoker Status" queryTableFieldId="4" dataDxfId="6"/>
    <tableColumn id="5" xr3:uid="{24646874-9A65-4BB0-A7DA-8F91EDBB61AA}" uniqueName="5" name="Face Amount" queryTableField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CBCE93-8B44-4A18-A1D7-294CE4FADF84}" name="High_Risk_Policies" displayName="High_Risk_Policies" ref="A5:E42" tableType="queryTable" totalsRowShown="0">
  <autoFilter ref="A5:E42" xr:uid="{A9CBCE93-8B44-4A18-A1D7-294CE4FADF84}"/>
  <tableColumns count="5">
    <tableColumn id="1" xr3:uid="{8591ACAC-CA67-40BD-B916-86C2511684EF}" uniqueName="1" name="Policy ID" queryTableFieldId="1" dataDxfId="5"/>
    <tableColumn id="2" xr3:uid="{359C48F5-A340-426C-ADE7-0F455014CDBE}" uniqueName="2" name="Age" queryTableFieldId="2"/>
    <tableColumn id="3" xr3:uid="{9990C31B-AF97-4C9A-B0FD-A45F33C43D40}" uniqueName="3" name="Gender" queryTableFieldId="3" dataDxfId="4"/>
    <tableColumn id="4" xr3:uid="{3DD07B18-CBDB-4162-9876-E4E4D6CFD907}" uniqueName="4" name="Smoker Status" queryTableFieldId="4" dataDxfId="3"/>
    <tableColumn id="5" xr3:uid="{E8A2AD52-B74F-4574-9D8B-2FB6AC8A9B3A}" uniqueName="5" name="Face Amount" queryTableFieldId="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4D19211-766B-44B3-B141-27EF58BA6185}" name="Premium_Data6" displayName="Premium_Data6" ref="F5:I42" totalsRowShown="0">
  <autoFilter ref="F5:I42" xr:uid="{44D19211-766B-44B3-B141-27EF58BA6185}"/>
  <tableColumns count="4">
    <tableColumn id="6" xr3:uid="{E1B0456D-E456-4252-9FB8-CBDC0F708CDB}" name="Mortality" dataDxfId="2">
      <calculatedColumnFormula>INDEX(mort_table[],MATCH(High_Risk_Policies[[#This Row],[Age]],mort_table[Age],0),2)</calculatedColumnFormula>
    </tableColumn>
    <tableColumn id="7" xr3:uid="{4C548CB9-88D4-48BE-B848-11AF2E36DC04}" name="Net Single Premium" dataDxfId="1">
      <calculatedColumnFormula>Premium_Data6[[#This Row],[Mortality]]*High_Risk_Policies[[#This Row],[Face Amount]]*((1+int_rate)^-1)</calculatedColumnFormula>
    </tableColumn>
    <tableColumn id="8" xr3:uid="{2BB73C55-559F-4D0D-97B2-06B113318FBF}" name="Smoker Adjustment" dataDxfId="0">
      <calculatedColumnFormula>IF(High_Risk_Policies[[#This Row],[Smoker Status]]="Smoker",G6*1.5,G6)</calculatedColumnFormula>
    </tableColumn>
    <tableColumn id="9" xr3:uid="{8D80774C-608D-46E3-94CD-2AE7C9B78231}" name="Gross Premium">
      <calculatedColumnFormula>H6/(1-expense_load)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6CA3B-F3AA-4820-9E3F-99EFAD7FF2C9}">
  <dimension ref="B2:F107"/>
  <sheetViews>
    <sheetView tabSelected="1" workbookViewId="0"/>
  </sheetViews>
  <sheetFormatPr defaultRowHeight="15" x14ac:dyDescent="0.25"/>
  <cols>
    <col min="2" max="2" width="10.7109375" customWidth="1"/>
    <col min="3" max="3" width="8.42578125" customWidth="1"/>
    <col min="4" max="4" width="9.85546875" customWidth="1"/>
    <col min="5" max="5" width="15.7109375" customWidth="1"/>
    <col min="6" max="6" width="14.7109375" customWidth="1"/>
  </cols>
  <sheetData>
    <row r="2" spans="2:6" x14ac:dyDescent="0.25">
      <c r="B2" t="s">
        <v>120</v>
      </c>
    </row>
    <row r="7" spans="2:6" x14ac:dyDescent="0.25">
      <c r="B7" t="s">
        <v>0</v>
      </c>
      <c r="C7" t="s">
        <v>1</v>
      </c>
      <c r="D7" t="s">
        <v>2</v>
      </c>
      <c r="E7" t="s">
        <v>3</v>
      </c>
      <c r="F7" t="s">
        <v>4</v>
      </c>
    </row>
    <row r="8" spans="2:6" x14ac:dyDescent="0.25">
      <c r="B8" s="5" t="s">
        <v>5</v>
      </c>
      <c r="C8" s="5">
        <v>28</v>
      </c>
      <c r="D8" s="5" t="s">
        <v>105</v>
      </c>
      <c r="E8" s="5" t="s">
        <v>107</v>
      </c>
      <c r="F8" s="6">
        <v>919270</v>
      </c>
    </row>
    <row r="9" spans="2:6" x14ac:dyDescent="0.25">
      <c r="B9" s="5" t="s">
        <v>6</v>
      </c>
      <c r="C9" s="5">
        <v>24</v>
      </c>
      <c r="D9" s="5" t="s">
        <v>106</v>
      </c>
      <c r="E9" s="5" t="s">
        <v>108</v>
      </c>
      <c r="F9" s="6">
        <v>692994</v>
      </c>
    </row>
    <row r="10" spans="2:6" x14ac:dyDescent="0.25">
      <c r="B10" s="5" t="s">
        <v>7</v>
      </c>
      <c r="C10" s="5">
        <v>31</v>
      </c>
      <c r="D10" s="5" t="s">
        <v>106</v>
      </c>
      <c r="E10" s="5" t="s">
        <v>107</v>
      </c>
      <c r="F10" s="6">
        <v>812925</v>
      </c>
    </row>
    <row r="11" spans="2:6" x14ac:dyDescent="0.25">
      <c r="B11" s="5" t="s">
        <v>8</v>
      </c>
      <c r="C11" s="5">
        <v>28</v>
      </c>
      <c r="D11" s="5" t="s">
        <v>106</v>
      </c>
      <c r="E11" s="5" t="s">
        <v>107</v>
      </c>
      <c r="F11" s="6">
        <v>936704</v>
      </c>
    </row>
    <row r="12" spans="2:6" x14ac:dyDescent="0.25">
      <c r="B12" s="5" t="s">
        <v>9</v>
      </c>
      <c r="C12" s="5">
        <v>38</v>
      </c>
      <c r="D12" s="5" t="s">
        <v>105</v>
      </c>
      <c r="E12" s="5" t="s">
        <v>107</v>
      </c>
      <c r="F12" s="6">
        <v>726353</v>
      </c>
    </row>
    <row r="13" spans="2:6" x14ac:dyDescent="0.25">
      <c r="B13" s="5" t="s">
        <v>10</v>
      </c>
      <c r="C13" s="5">
        <v>27</v>
      </c>
      <c r="D13" s="5" t="s">
        <v>105</v>
      </c>
      <c r="E13" s="5" t="s">
        <v>107</v>
      </c>
      <c r="F13" s="6">
        <v>490699</v>
      </c>
    </row>
    <row r="14" spans="2:6" x14ac:dyDescent="0.25">
      <c r="B14" s="5" t="s">
        <v>11</v>
      </c>
      <c r="C14" s="5">
        <v>21</v>
      </c>
      <c r="D14" s="5" t="s">
        <v>106</v>
      </c>
      <c r="E14" s="5" t="s">
        <v>107</v>
      </c>
      <c r="F14" s="6">
        <v>581895</v>
      </c>
    </row>
    <row r="15" spans="2:6" x14ac:dyDescent="0.25">
      <c r="B15" s="5" t="s">
        <v>12</v>
      </c>
      <c r="C15" s="5">
        <v>32</v>
      </c>
      <c r="D15" s="5" t="s">
        <v>105</v>
      </c>
      <c r="E15" s="5" t="s">
        <v>107</v>
      </c>
      <c r="F15" s="6">
        <v>752816</v>
      </c>
    </row>
    <row r="16" spans="2:6" x14ac:dyDescent="0.25">
      <c r="B16" s="5" t="s">
        <v>13</v>
      </c>
      <c r="C16" s="5">
        <v>27</v>
      </c>
      <c r="D16" s="5" t="s">
        <v>106</v>
      </c>
      <c r="E16" s="5" t="s">
        <v>107</v>
      </c>
      <c r="F16" s="6">
        <v>691117</v>
      </c>
    </row>
    <row r="17" spans="2:6" x14ac:dyDescent="0.25">
      <c r="B17" s="5" t="s">
        <v>14</v>
      </c>
      <c r="C17" s="5">
        <v>27</v>
      </c>
      <c r="D17" s="5" t="s">
        <v>106</v>
      </c>
      <c r="E17" s="5" t="s">
        <v>108</v>
      </c>
      <c r="F17" s="6">
        <v>849232</v>
      </c>
    </row>
    <row r="18" spans="2:6" x14ac:dyDescent="0.25">
      <c r="B18" s="5" t="s">
        <v>15</v>
      </c>
      <c r="C18" s="5">
        <v>36</v>
      </c>
      <c r="D18" s="5" t="s">
        <v>106</v>
      </c>
      <c r="E18" s="5" t="s">
        <v>108</v>
      </c>
      <c r="F18" s="6">
        <v>453104</v>
      </c>
    </row>
    <row r="19" spans="2:6" x14ac:dyDescent="0.25">
      <c r="B19" s="5" t="s">
        <v>16</v>
      </c>
      <c r="C19" s="5">
        <v>34</v>
      </c>
      <c r="D19" s="5" t="s">
        <v>105</v>
      </c>
      <c r="E19" s="5" t="s">
        <v>107</v>
      </c>
      <c r="F19" s="6">
        <v>891982</v>
      </c>
    </row>
    <row r="20" spans="2:6" x14ac:dyDescent="0.25">
      <c r="B20" s="5" t="s">
        <v>17</v>
      </c>
      <c r="C20" s="5">
        <v>31</v>
      </c>
      <c r="D20" s="5" t="s">
        <v>105</v>
      </c>
      <c r="E20" s="5" t="s">
        <v>107</v>
      </c>
      <c r="F20" s="6">
        <v>336480</v>
      </c>
    </row>
    <row r="21" spans="2:6" x14ac:dyDescent="0.25">
      <c r="B21" s="5" t="s">
        <v>18</v>
      </c>
      <c r="C21" s="5">
        <v>20</v>
      </c>
      <c r="D21" s="5" t="s">
        <v>106</v>
      </c>
      <c r="E21" s="5" t="s">
        <v>107</v>
      </c>
      <c r="F21" s="6">
        <v>613806</v>
      </c>
    </row>
    <row r="22" spans="2:6" x14ac:dyDescent="0.25">
      <c r="B22" s="5" t="s">
        <v>19</v>
      </c>
      <c r="C22" s="5">
        <v>20</v>
      </c>
      <c r="D22" s="5" t="s">
        <v>105</v>
      </c>
      <c r="E22" s="5" t="s">
        <v>107</v>
      </c>
      <c r="F22" s="6">
        <v>292082</v>
      </c>
    </row>
    <row r="23" spans="2:6" x14ac:dyDescent="0.25">
      <c r="B23" s="5" t="s">
        <v>20</v>
      </c>
      <c r="C23" s="5">
        <v>25</v>
      </c>
      <c r="D23" s="5" t="s">
        <v>106</v>
      </c>
      <c r="E23" s="5" t="s">
        <v>107</v>
      </c>
      <c r="F23" s="6">
        <v>816539</v>
      </c>
    </row>
    <row r="24" spans="2:6" x14ac:dyDescent="0.25">
      <c r="B24" s="5" t="s">
        <v>21</v>
      </c>
      <c r="C24" s="5">
        <v>24</v>
      </c>
      <c r="D24" s="5" t="s">
        <v>106</v>
      </c>
      <c r="E24" s="5" t="s">
        <v>108</v>
      </c>
      <c r="F24" s="6">
        <v>708323</v>
      </c>
    </row>
    <row r="25" spans="2:6" x14ac:dyDescent="0.25">
      <c r="B25" s="5" t="s">
        <v>22</v>
      </c>
      <c r="C25" s="5">
        <v>23</v>
      </c>
      <c r="D25" s="5" t="s">
        <v>106</v>
      </c>
      <c r="E25" s="5" t="s">
        <v>107</v>
      </c>
      <c r="F25" s="6">
        <v>376348</v>
      </c>
    </row>
    <row r="26" spans="2:6" x14ac:dyDescent="0.25">
      <c r="B26" s="5" t="s">
        <v>23</v>
      </c>
      <c r="C26" s="5">
        <v>32</v>
      </c>
      <c r="D26" s="5" t="s">
        <v>105</v>
      </c>
      <c r="E26" s="5" t="s">
        <v>107</v>
      </c>
      <c r="F26" s="6">
        <v>913426</v>
      </c>
    </row>
    <row r="27" spans="2:6" x14ac:dyDescent="0.25">
      <c r="B27" s="5" t="s">
        <v>24</v>
      </c>
      <c r="C27" s="5">
        <v>34</v>
      </c>
      <c r="D27" s="5" t="s">
        <v>105</v>
      </c>
      <c r="E27" s="5" t="s">
        <v>107</v>
      </c>
      <c r="F27" s="6">
        <v>616795</v>
      </c>
    </row>
    <row r="28" spans="2:6" x14ac:dyDescent="0.25">
      <c r="B28" s="5" t="s">
        <v>25</v>
      </c>
      <c r="C28" s="5">
        <v>38</v>
      </c>
      <c r="D28" s="5" t="s">
        <v>106</v>
      </c>
      <c r="E28" s="5" t="s">
        <v>107</v>
      </c>
      <c r="F28" s="6">
        <v>915754</v>
      </c>
    </row>
    <row r="29" spans="2:6" x14ac:dyDescent="0.25">
      <c r="B29" s="5" t="s">
        <v>26</v>
      </c>
      <c r="C29" s="5">
        <v>21</v>
      </c>
      <c r="D29" s="5" t="s">
        <v>105</v>
      </c>
      <c r="E29" s="5" t="s">
        <v>107</v>
      </c>
      <c r="F29" s="6">
        <v>809352</v>
      </c>
    </row>
    <row r="30" spans="2:6" x14ac:dyDescent="0.25">
      <c r="B30" s="5" t="s">
        <v>27</v>
      </c>
      <c r="C30" s="5">
        <v>20</v>
      </c>
      <c r="D30" s="5" t="s">
        <v>106</v>
      </c>
      <c r="E30" s="5" t="s">
        <v>107</v>
      </c>
      <c r="F30" s="6">
        <v>916041</v>
      </c>
    </row>
    <row r="31" spans="2:6" x14ac:dyDescent="0.25">
      <c r="B31" s="5" t="s">
        <v>28</v>
      </c>
      <c r="C31" s="5">
        <v>33</v>
      </c>
      <c r="D31" s="5" t="s">
        <v>106</v>
      </c>
      <c r="E31" s="5" t="s">
        <v>107</v>
      </c>
      <c r="F31" s="6">
        <v>539848</v>
      </c>
    </row>
    <row r="32" spans="2:6" x14ac:dyDescent="0.25">
      <c r="B32" s="5" t="s">
        <v>29</v>
      </c>
      <c r="C32" s="5">
        <v>24</v>
      </c>
      <c r="D32" s="5" t="s">
        <v>106</v>
      </c>
      <c r="E32" s="5" t="s">
        <v>108</v>
      </c>
      <c r="F32" s="6">
        <v>929438</v>
      </c>
    </row>
    <row r="33" spans="2:6" x14ac:dyDescent="0.25">
      <c r="B33" s="5" t="s">
        <v>30</v>
      </c>
      <c r="C33" s="5">
        <v>28</v>
      </c>
      <c r="D33" s="5" t="s">
        <v>105</v>
      </c>
      <c r="E33" s="5" t="s">
        <v>108</v>
      </c>
      <c r="F33" s="6">
        <v>335081</v>
      </c>
    </row>
    <row r="34" spans="2:6" x14ac:dyDescent="0.25">
      <c r="B34" s="5" t="s">
        <v>31</v>
      </c>
      <c r="C34" s="5">
        <v>40</v>
      </c>
      <c r="D34" s="5" t="s">
        <v>105</v>
      </c>
      <c r="E34" s="5" t="s">
        <v>107</v>
      </c>
      <c r="F34" s="6">
        <v>271706</v>
      </c>
    </row>
    <row r="35" spans="2:6" x14ac:dyDescent="0.25">
      <c r="B35" s="5" t="s">
        <v>32</v>
      </c>
      <c r="C35" s="5">
        <v>30</v>
      </c>
      <c r="D35" s="5" t="s">
        <v>106</v>
      </c>
      <c r="E35" s="5" t="s">
        <v>107</v>
      </c>
      <c r="F35" s="6">
        <v>307803</v>
      </c>
    </row>
    <row r="36" spans="2:6" x14ac:dyDescent="0.25">
      <c r="B36" s="5" t="s">
        <v>33</v>
      </c>
      <c r="C36" s="5">
        <v>24</v>
      </c>
      <c r="D36" s="5" t="s">
        <v>105</v>
      </c>
      <c r="E36" s="5" t="s">
        <v>107</v>
      </c>
      <c r="F36" s="6">
        <v>494320</v>
      </c>
    </row>
    <row r="37" spans="2:6" x14ac:dyDescent="0.25">
      <c r="B37" s="5" t="s">
        <v>34</v>
      </c>
      <c r="C37" s="5">
        <v>21</v>
      </c>
      <c r="D37" s="5" t="s">
        <v>106</v>
      </c>
      <c r="E37" s="5" t="s">
        <v>107</v>
      </c>
      <c r="F37" s="6">
        <v>263324</v>
      </c>
    </row>
    <row r="38" spans="2:6" x14ac:dyDescent="0.25">
      <c r="B38" s="5" t="s">
        <v>35</v>
      </c>
      <c r="C38" s="5">
        <v>40</v>
      </c>
      <c r="D38" s="5" t="s">
        <v>106</v>
      </c>
      <c r="E38" s="5" t="s">
        <v>107</v>
      </c>
      <c r="F38" s="6">
        <v>822817</v>
      </c>
    </row>
    <row r="39" spans="2:6" x14ac:dyDescent="0.25">
      <c r="B39" s="5" t="s">
        <v>36</v>
      </c>
      <c r="C39" s="5">
        <v>40</v>
      </c>
      <c r="D39" s="5" t="s">
        <v>106</v>
      </c>
      <c r="E39" s="5" t="s">
        <v>108</v>
      </c>
      <c r="F39" s="6">
        <v>390131</v>
      </c>
    </row>
    <row r="40" spans="2:6" x14ac:dyDescent="0.25">
      <c r="B40" s="5" t="s">
        <v>37</v>
      </c>
      <c r="C40" s="5">
        <v>30</v>
      </c>
      <c r="D40" s="5" t="s">
        <v>105</v>
      </c>
      <c r="E40" s="5" t="s">
        <v>107</v>
      </c>
      <c r="F40" s="6">
        <v>809494</v>
      </c>
    </row>
    <row r="41" spans="2:6" x14ac:dyDescent="0.25">
      <c r="B41" s="5" t="s">
        <v>38</v>
      </c>
      <c r="C41" s="5">
        <v>32</v>
      </c>
      <c r="D41" s="5" t="s">
        <v>105</v>
      </c>
      <c r="E41" s="5" t="s">
        <v>107</v>
      </c>
      <c r="F41" s="6">
        <v>411599</v>
      </c>
    </row>
    <row r="42" spans="2:6" x14ac:dyDescent="0.25">
      <c r="B42" s="5" t="s">
        <v>39</v>
      </c>
      <c r="C42" s="5">
        <v>28</v>
      </c>
      <c r="D42" s="5" t="s">
        <v>106</v>
      </c>
      <c r="E42" s="5" t="s">
        <v>107</v>
      </c>
      <c r="F42" s="6">
        <v>305088</v>
      </c>
    </row>
    <row r="43" spans="2:6" x14ac:dyDescent="0.25">
      <c r="B43" s="5" t="s">
        <v>40</v>
      </c>
      <c r="C43" s="5">
        <v>39</v>
      </c>
      <c r="D43" s="5" t="s">
        <v>105</v>
      </c>
      <c r="E43" s="5" t="s">
        <v>107</v>
      </c>
      <c r="F43" s="6">
        <v>384713</v>
      </c>
    </row>
    <row r="44" spans="2:6" x14ac:dyDescent="0.25">
      <c r="B44" s="5" t="s">
        <v>41</v>
      </c>
      <c r="C44" s="5">
        <v>24</v>
      </c>
      <c r="D44" s="5" t="s">
        <v>106</v>
      </c>
      <c r="E44" s="5" t="s">
        <v>107</v>
      </c>
      <c r="F44" s="6">
        <v>362477</v>
      </c>
    </row>
    <row r="45" spans="2:6" x14ac:dyDescent="0.25">
      <c r="B45" s="5" t="s">
        <v>42</v>
      </c>
      <c r="C45" s="5">
        <v>28</v>
      </c>
      <c r="D45" s="5" t="s">
        <v>106</v>
      </c>
      <c r="E45" s="5" t="s">
        <v>107</v>
      </c>
      <c r="F45" s="6">
        <v>385952</v>
      </c>
    </row>
    <row r="46" spans="2:6" x14ac:dyDescent="0.25">
      <c r="B46" s="5" t="s">
        <v>43</v>
      </c>
      <c r="C46" s="5">
        <v>21</v>
      </c>
      <c r="D46" s="5" t="s">
        <v>106</v>
      </c>
      <c r="E46" s="5" t="s">
        <v>107</v>
      </c>
      <c r="F46" s="6">
        <v>290227</v>
      </c>
    </row>
    <row r="47" spans="2:6" x14ac:dyDescent="0.25">
      <c r="B47" s="5" t="s">
        <v>44</v>
      </c>
      <c r="C47" s="5">
        <v>30</v>
      </c>
      <c r="D47" s="5" t="s">
        <v>105</v>
      </c>
      <c r="E47" s="5" t="s">
        <v>108</v>
      </c>
      <c r="F47" s="6">
        <v>983536</v>
      </c>
    </row>
    <row r="48" spans="2:6" x14ac:dyDescent="0.25">
      <c r="B48" s="5" t="s">
        <v>45</v>
      </c>
      <c r="C48" s="5">
        <v>36</v>
      </c>
      <c r="D48" s="5" t="s">
        <v>105</v>
      </c>
      <c r="E48" s="5" t="s">
        <v>108</v>
      </c>
      <c r="F48" s="6">
        <v>395684</v>
      </c>
    </row>
    <row r="49" spans="2:6" x14ac:dyDescent="0.25">
      <c r="B49" s="5" t="s">
        <v>46</v>
      </c>
      <c r="C49" s="5">
        <v>40</v>
      </c>
      <c r="D49" s="5" t="s">
        <v>106</v>
      </c>
      <c r="E49" s="5" t="s">
        <v>107</v>
      </c>
      <c r="F49" s="6">
        <v>641496</v>
      </c>
    </row>
    <row r="50" spans="2:6" x14ac:dyDescent="0.25">
      <c r="B50" s="5" t="s">
        <v>47</v>
      </c>
      <c r="C50" s="5">
        <v>40</v>
      </c>
      <c r="D50" s="5" t="s">
        <v>105</v>
      </c>
      <c r="E50" s="5" t="s">
        <v>107</v>
      </c>
      <c r="F50" s="6">
        <v>680902</v>
      </c>
    </row>
    <row r="51" spans="2:6" x14ac:dyDescent="0.25">
      <c r="B51" s="5" t="s">
        <v>48</v>
      </c>
      <c r="C51" s="5">
        <v>35</v>
      </c>
      <c r="D51" s="5" t="s">
        <v>106</v>
      </c>
      <c r="E51" s="5" t="s">
        <v>107</v>
      </c>
      <c r="F51" s="6">
        <v>891574</v>
      </c>
    </row>
    <row r="52" spans="2:6" x14ac:dyDescent="0.25">
      <c r="B52" s="5" t="s">
        <v>49</v>
      </c>
      <c r="C52" s="5">
        <v>22</v>
      </c>
      <c r="D52" s="5" t="s">
        <v>106</v>
      </c>
      <c r="E52" s="5" t="s">
        <v>107</v>
      </c>
      <c r="F52" s="6">
        <v>770892</v>
      </c>
    </row>
    <row r="53" spans="2:6" x14ac:dyDescent="0.25">
      <c r="B53" s="5" t="s">
        <v>50</v>
      </c>
      <c r="C53" s="5">
        <v>20</v>
      </c>
      <c r="D53" s="5" t="s">
        <v>106</v>
      </c>
      <c r="E53" s="5" t="s">
        <v>107</v>
      </c>
      <c r="F53" s="6">
        <v>765993</v>
      </c>
    </row>
    <row r="54" spans="2:6" x14ac:dyDescent="0.25">
      <c r="B54" s="5" t="s">
        <v>51</v>
      </c>
      <c r="C54" s="5">
        <v>28</v>
      </c>
      <c r="D54" s="5" t="s">
        <v>105</v>
      </c>
      <c r="E54" s="5" t="s">
        <v>108</v>
      </c>
      <c r="F54" s="6">
        <v>937375</v>
      </c>
    </row>
    <row r="55" spans="2:6" x14ac:dyDescent="0.25">
      <c r="B55" s="5" t="s">
        <v>52</v>
      </c>
      <c r="C55" s="5">
        <v>33</v>
      </c>
      <c r="D55" s="5" t="s">
        <v>105</v>
      </c>
      <c r="E55" s="5" t="s">
        <v>107</v>
      </c>
      <c r="F55" s="6">
        <v>982491</v>
      </c>
    </row>
    <row r="56" spans="2:6" x14ac:dyDescent="0.25">
      <c r="B56" s="5" t="s">
        <v>53</v>
      </c>
      <c r="C56" s="5">
        <v>20</v>
      </c>
      <c r="D56" s="5" t="s">
        <v>106</v>
      </c>
      <c r="E56" s="5" t="s">
        <v>107</v>
      </c>
      <c r="F56" s="6">
        <v>467892</v>
      </c>
    </row>
    <row r="57" spans="2:6" x14ac:dyDescent="0.25">
      <c r="B57" s="5" t="s">
        <v>54</v>
      </c>
      <c r="C57" s="5">
        <v>21</v>
      </c>
      <c r="D57" s="5" t="s">
        <v>105</v>
      </c>
      <c r="E57" s="5" t="s">
        <v>107</v>
      </c>
      <c r="F57" s="6">
        <v>816099</v>
      </c>
    </row>
    <row r="58" spans="2:6" x14ac:dyDescent="0.25">
      <c r="B58" s="5" t="s">
        <v>55</v>
      </c>
      <c r="C58" s="5">
        <v>25</v>
      </c>
      <c r="D58" s="5" t="s">
        <v>106</v>
      </c>
      <c r="E58" s="5" t="s">
        <v>107</v>
      </c>
      <c r="F58" s="6">
        <v>654222</v>
      </c>
    </row>
    <row r="59" spans="2:6" x14ac:dyDescent="0.25">
      <c r="B59" s="5" t="s">
        <v>56</v>
      </c>
      <c r="C59" s="5">
        <v>38</v>
      </c>
      <c r="D59" s="5" t="s">
        <v>106</v>
      </c>
      <c r="E59" s="5" t="s">
        <v>107</v>
      </c>
      <c r="F59" s="6">
        <v>635113</v>
      </c>
    </row>
    <row r="60" spans="2:6" x14ac:dyDescent="0.25">
      <c r="B60" s="5" t="s">
        <v>57</v>
      </c>
      <c r="C60" s="5">
        <v>29</v>
      </c>
      <c r="D60" s="5" t="s">
        <v>106</v>
      </c>
      <c r="E60" s="5" t="s">
        <v>107</v>
      </c>
      <c r="F60" s="6">
        <v>596962</v>
      </c>
    </row>
    <row r="61" spans="2:6" x14ac:dyDescent="0.25">
      <c r="B61" s="5" t="s">
        <v>58</v>
      </c>
      <c r="C61" s="5">
        <v>38</v>
      </c>
      <c r="D61" s="5" t="s">
        <v>105</v>
      </c>
      <c r="E61" s="5" t="s">
        <v>107</v>
      </c>
      <c r="F61" s="6">
        <v>463856</v>
      </c>
    </row>
    <row r="62" spans="2:6" x14ac:dyDescent="0.25">
      <c r="B62" s="5" t="s">
        <v>59</v>
      </c>
      <c r="C62" s="5">
        <v>22</v>
      </c>
      <c r="D62" s="5" t="s">
        <v>105</v>
      </c>
      <c r="E62" s="5" t="s">
        <v>108</v>
      </c>
      <c r="F62" s="6">
        <v>614519</v>
      </c>
    </row>
    <row r="63" spans="2:6" x14ac:dyDescent="0.25">
      <c r="B63" s="5" t="s">
        <v>60</v>
      </c>
      <c r="C63" s="5">
        <v>36</v>
      </c>
      <c r="D63" s="5" t="s">
        <v>106</v>
      </c>
      <c r="E63" s="5" t="s">
        <v>108</v>
      </c>
      <c r="F63" s="6">
        <v>954206</v>
      </c>
    </row>
    <row r="64" spans="2:6" x14ac:dyDescent="0.25">
      <c r="B64" s="5" t="s">
        <v>61</v>
      </c>
      <c r="C64" s="5">
        <v>34</v>
      </c>
      <c r="D64" s="5" t="s">
        <v>105</v>
      </c>
      <c r="E64" s="5" t="s">
        <v>107</v>
      </c>
      <c r="F64" s="6">
        <v>897195</v>
      </c>
    </row>
    <row r="65" spans="2:6" x14ac:dyDescent="0.25">
      <c r="B65" s="5" t="s">
        <v>62</v>
      </c>
      <c r="C65" s="5">
        <v>30</v>
      </c>
      <c r="D65" s="5" t="s">
        <v>106</v>
      </c>
      <c r="E65" s="5" t="s">
        <v>107</v>
      </c>
      <c r="F65" s="6">
        <v>409714</v>
      </c>
    </row>
    <row r="66" spans="2:6" x14ac:dyDescent="0.25">
      <c r="B66" s="5" t="s">
        <v>63</v>
      </c>
      <c r="C66" s="5">
        <v>33</v>
      </c>
      <c r="D66" s="5" t="s">
        <v>106</v>
      </c>
      <c r="E66" s="5" t="s">
        <v>107</v>
      </c>
      <c r="F66" s="6">
        <v>954214</v>
      </c>
    </row>
    <row r="67" spans="2:6" x14ac:dyDescent="0.25">
      <c r="B67" s="5" t="s">
        <v>64</v>
      </c>
      <c r="C67" s="5">
        <v>36</v>
      </c>
      <c r="D67" s="5" t="s">
        <v>106</v>
      </c>
      <c r="E67" s="5" t="s">
        <v>107</v>
      </c>
      <c r="F67" s="6">
        <v>852408</v>
      </c>
    </row>
    <row r="68" spans="2:6" x14ac:dyDescent="0.25">
      <c r="B68" s="5" t="s">
        <v>65</v>
      </c>
      <c r="C68" s="5">
        <v>28</v>
      </c>
      <c r="D68" s="5" t="s">
        <v>105</v>
      </c>
      <c r="E68" s="5" t="s">
        <v>107</v>
      </c>
      <c r="F68" s="6">
        <v>672963</v>
      </c>
    </row>
    <row r="69" spans="2:6" x14ac:dyDescent="0.25">
      <c r="B69" s="5" t="s">
        <v>66</v>
      </c>
      <c r="C69" s="5">
        <v>33</v>
      </c>
      <c r="D69" s="5" t="s">
        <v>105</v>
      </c>
      <c r="E69" s="5" t="s">
        <v>108</v>
      </c>
      <c r="F69" s="6">
        <v>382266</v>
      </c>
    </row>
    <row r="70" spans="2:6" x14ac:dyDescent="0.25">
      <c r="B70" s="5" t="s">
        <v>67</v>
      </c>
      <c r="C70" s="5">
        <v>20</v>
      </c>
      <c r="D70" s="5" t="s">
        <v>106</v>
      </c>
      <c r="E70" s="5" t="s">
        <v>107</v>
      </c>
      <c r="F70" s="6">
        <v>319763</v>
      </c>
    </row>
    <row r="71" spans="2:6" x14ac:dyDescent="0.25">
      <c r="B71" s="5" t="s">
        <v>68</v>
      </c>
      <c r="C71" s="5">
        <v>26</v>
      </c>
      <c r="D71" s="5" t="s">
        <v>105</v>
      </c>
      <c r="E71" s="5" t="s">
        <v>107</v>
      </c>
      <c r="F71" s="6">
        <v>251930</v>
      </c>
    </row>
    <row r="72" spans="2:6" x14ac:dyDescent="0.25">
      <c r="B72" s="5" t="s">
        <v>69</v>
      </c>
      <c r="C72" s="5">
        <v>20</v>
      </c>
      <c r="D72" s="5" t="s">
        <v>106</v>
      </c>
      <c r="E72" s="5" t="s">
        <v>107</v>
      </c>
      <c r="F72" s="6">
        <v>631239</v>
      </c>
    </row>
    <row r="73" spans="2:6" x14ac:dyDescent="0.25">
      <c r="B73" s="5" t="s">
        <v>70</v>
      </c>
      <c r="C73" s="5">
        <v>21</v>
      </c>
      <c r="D73" s="5" t="s">
        <v>106</v>
      </c>
      <c r="E73" s="5" t="s">
        <v>107</v>
      </c>
      <c r="F73" s="6">
        <v>972160</v>
      </c>
    </row>
    <row r="74" spans="2:6" x14ac:dyDescent="0.25">
      <c r="B74" s="5" t="s">
        <v>71</v>
      </c>
      <c r="C74" s="5">
        <v>27</v>
      </c>
      <c r="D74" s="5" t="s">
        <v>106</v>
      </c>
      <c r="E74" s="5" t="s">
        <v>107</v>
      </c>
      <c r="F74" s="6">
        <v>356256</v>
      </c>
    </row>
    <row r="75" spans="2:6" x14ac:dyDescent="0.25">
      <c r="B75" s="5" t="s">
        <v>72</v>
      </c>
      <c r="C75" s="5">
        <v>22</v>
      </c>
      <c r="D75" s="5" t="s">
        <v>105</v>
      </c>
      <c r="E75" s="5" t="s">
        <v>107</v>
      </c>
      <c r="F75" s="6">
        <v>277247</v>
      </c>
    </row>
    <row r="76" spans="2:6" x14ac:dyDescent="0.25">
      <c r="B76" s="5" t="s">
        <v>73</v>
      </c>
      <c r="C76" s="5">
        <v>30</v>
      </c>
      <c r="D76" s="5" t="s">
        <v>105</v>
      </c>
      <c r="E76" s="5" t="s">
        <v>107</v>
      </c>
      <c r="F76" s="6">
        <v>407907</v>
      </c>
    </row>
    <row r="77" spans="2:6" x14ac:dyDescent="0.25">
      <c r="B77" s="5" t="s">
        <v>74</v>
      </c>
      <c r="C77" s="5">
        <v>22</v>
      </c>
      <c r="D77" s="5" t="s">
        <v>106</v>
      </c>
      <c r="E77" s="5" t="s">
        <v>108</v>
      </c>
      <c r="F77" s="6">
        <v>649781</v>
      </c>
    </row>
    <row r="78" spans="2:6" x14ac:dyDescent="0.25">
      <c r="B78" s="5" t="s">
        <v>75</v>
      </c>
      <c r="C78" s="5">
        <v>22</v>
      </c>
      <c r="D78" s="5" t="s">
        <v>105</v>
      </c>
      <c r="E78" s="5" t="s">
        <v>108</v>
      </c>
      <c r="F78" s="6">
        <v>690276</v>
      </c>
    </row>
    <row r="79" spans="2:6" x14ac:dyDescent="0.25">
      <c r="B79" s="5" t="s">
        <v>76</v>
      </c>
      <c r="C79" s="5">
        <v>39</v>
      </c>
      <c r="D79" s="5" t="s">
        <v>106</v>
      </c>
      <c r="E79" s="5" t="s">
        <v>107</v>
      </c>
      <c r="F79" s="6">
        <v>885500</v>
      </c>
    </row>
    <row r="80" spans="2:6" x14ac:dyDescent="0.25">
      <c r="B80" s="5" t="s">
        <v>77</v>
      </c>
      <c r="C80" s="5">
        <v>23</v>
      </c>
      <c r="D80" s="5" t="s">
        <v>106</v>
      </c>
      <c r="E80" s="5" t="s">
        <v>107</v>
      </c>
      <c r="F80" s="6">
        <v>596372</v>
      </c>
    </row>
    <row r="81" spans="2:6" x14ac:dyDescent="0.25">
      <c r="B81" s="5" t="s">
        <v>78</v>
      </c>
      <c r="C81" s="5">
        <v>38</v>
      </c>
      <c r="D81" s="5" t="s">
        <v>106</v>
      </c>
      <c r="E81" s="5" t="s">
        <v>107</v>
      </c>
      <c r="F81" s="6">
        <v>319960</v>
      </c>
    </row>
    <row r="82" spans="2:6" x14ac:dyDescent="0.25">
      <c r="B82" s="5" t="s">
        <v>79</v>
      </c>
      <c r="C82" s="5">
        <v>25</v>
      </c>
      <c r="D82" s="5" t="s">
        <v>105</v>
      </c>
      <c r="E82" s="5" t="s">
        <v>107</v>
      </c>
      <c r="F82" s="6">
        <v>400032</v>
      </c>
    </row>
    <row r="83" spans="2:6" x14ac:dyDescent="0.25">
      <c r="B83" s="5" t="s">
        <v>80</v>
      </c>
      <c r="C83" s="5">
        <v>28</v>
      </c>
      <c r="D83" s="5" t="s">
        <v>105</v>
      </c>
      <c r="E83" s="5" t="s">
        <v>107</v>
      </c>
      <c r="F83" s="6">
        <v>505504</v>
      </c>
    </row>
    <row r="84" spans="2:6" x14ac:dyDescent="0.25">
      <c r="B84" s="5" t="s">
        <v>81</v>
      </c>
      <c r="C84" s="5">
        <v>26</v>
      </c>
      <c r="D84" s="5" t="s">
        <v>106</v>
      </c>
      <c r="E84" s="5" t="s">
        <v>108</v>
      </c>
      <c r="F84" s="6">
        <v>298959</v>
      </c>
    </row>
    <row r="85" spans="2:6" x14ac:dyDescent="0.25">
      <c r="B85" s="5" t="s">
        <v>82</v>
      </c>
      <c r="C85" s="5">
        <v>39</v>
      </c>
      <c r="D85" s="5" t="s">
        <v>105</v>
      </c>
      <c r="E85" s="5" t="s">
        <v>107</v>
      </c>
      <c r="F85" s="6">
        <v>706125</v>
      </c>
    </row>
    <row r="86" spans="2:6" x14ac:dyDescent="0.25">
      <c r="B86" s="5" t="s">
        <v>83</v>
      </c>
      <c r="C86" s="5">
        <v>37</v>
      </c>
      <c r="D86" s="5" t="s">
        <v>106</v>
      </c>
      <c r="E86" s="5" t="s">
        <v>107</v>
      </c>
      <c r="F86" s="6">
        <v>335977</v>
      </c>
    </row>
    <row r="87" spans="2:6" x14ac:dyDescent="0.25">
      <c r="B87" s="5" t="s">
        <v>84</v>
      </c>
      <c r="C87" s="5">
        <v>36</v>
      </c>
      <c r="D87" s="5" t="s">
        <v>106</v>
      </c>
      <c r="E87" s="5" t="s">
        <v>107</v>
      </c>
      <c r="F87" s="6">
        <v>568767</v>
      </c>
    </row>
    <row r="88" spans="2:6" x14ac:dyDescent="0.25">
      <c r="B88" s="5" t="s">
        <v>85</v>
      </c>
      <c r="C88" s="5">
        <v>30</v>
      </c>
      <c r="D88" s="5" t="s">
        <v>106</v>
      </c>
      <c r="E88" s="5" t="s">
        <v>107</v>
      </c>
      <c r="F88" s="6">
        <v>791969</v>
      </c>
    </row>
    <row r="89" spans="2:6" x14ac:dyDescent="0.25">
      <c r="B89" s="5" t="s">
        <v>86</v>
      </c>
      <c r="C89" s="5">
        <v>27</v>
      </c>
      <c r="D89" s="5" t="s">
        <v>105</v>
      </c>
      <c r="E89" s="5" t="s">
        <v>107</v>
      </c>
      <c r="F89" s="6">
        <v>797355</v>
      </c>
    </row>
    <row r="90" spans="2:6" x14ac:dyDescent="0.25">
      <c r="B90" s="5" t="s">
        <v>87</v>
      </c>
      <c r="C90" s="5">
        <v>36</v>
      </c>
      <c r="D90" s="5" t="s">
        <v>105</v>
      </c>
      <c r="E90" s="5" t="s">
        <v>107</v>
      </c>
      <c r="F90" s="6">
        <v>321588</v>
      </c>
    </row>
    <row r="91" spans="2:6" x14ac:dyDescent="0.25">
      <c r="B91" s="5" t="s">
        <v>88</v>
      </c>
      <c r="C91" s="5">
        <v>22</v>
      </c>
      <c r="D91" s="5" t="s">
        <v>106</v>
      </c>
      <c r="E91" s="5" t="s">
        <v>107</v>
      </c>
      <c r="F91" s="6">
        <v>892946</v>
      </c>
    </row>
    <row r="92" spans="2:6" x14ac:dyDescent="0.25">
      <c r="B92" s="5" t="s">
        <v>89</v>
      </c>
      <c r="C92" s="5">
        <v>24</v>
      </c>
      <c r="D92" s="5" t="s">
        <v>105</v>
      </c>
      <c r="E92" s="5" t="s">
        <v>108</v>
      </c>
      <c r="F92" s="6">
        <v>655453</v>
      </c>
    </row>
    <row r="93" spans="2:6" x14ac:dyDescent="0.25">
      <c r="B93" s="5" t="s">
        <v>90</v>
      </c>
      <c r="C93" s="5">
        <v>28</v>
      </c>
      <c r="D93" s="5" t="s">
        <v>106</v>
      </c>
      <c r="E93" s="5" t="s">
        <v>108</v>
      </c>
      <c r="F93" s="6">
        <v>976299</v>
      </c>
    </row>
    <row r="94" spans="2:6" x14ac:dyDescent="0.25">
      <c r="B94" s="5" t="s">
        <v>91</v>
      </c>
      <c r="C94" s="5">
        <v>31</v>
      </c>
      <c r="D94" s="5" t="s">
        <v>106</v>
      </c>
      <c r="E94" s="5" t="s">
        <v>107</v>
      </c>
      <c r="F94" s="6">
        <v>842500</v>
      </c>
    </row>
    <row r="95" spans="2:6" x14ac:dyDescent="0.25">
      <c r="B95" s="5" t="s">
        <v>92</v>
      </c>
      <c r="C95" s="5">
        <v>29</v>
      </c>
      <c r="D95" s="5" t="s">
        <v>106</v>
      </c>
      <c r="E95" s="5" t="s">
        <v>107</v>
      </c>
      <c r="F95" s="6">
        <v>325409</v>
      </c>
    </row>
    <row r="96" spans="2:6" x14ac:dyDescent="0.25">
      <c r="B96" s="5" t="s">
        <v>93</v>
      </c>
      <c r="C96" s="5">
        <v>31</v>
      </c>
      <c r="D96" s="5" t="s">
        <v>105</v>
      </c>
      <c r="E96" s="5" t="s">
        <v>107</v>
      </c>
      <c r="F96" s="6">
        <v>839283</v>
      </c>
    </row>
    <row r="97" spans="2:6" x14ac:dyDescent="0.25">
      <c r="B97" s="5" t="s">
        <v>94</v>
      </c>
      <c r="C97" s="5">
        <v>24</v>
      </c>
      <c r="D97" s="5" t="s">
        <v>105</v>
      </c>
      <c r="E97" s="5" t="s">
        <v>107</v>
      </c>
      <c r="F97" s="6">
        <v>915888</v>
      </c>
    </row>
    <row r="98" spans="2:6" x14ac:dyDescent="0.25">
      <c r="B98" s="5" t="s">
        <v>95</v>
      </c>
      <c r="C98" s="5">
        <v>36</v>
      </c>
      <c r="D98" s="5" t="s">
        <v>106</v>
      </c>
      <c r="E98" s="5" t="s">
        <v>107</v>
      </c>
      <c r="F98" s="6">
        <v>605999</v>
      </c>
    </row>
    <row r="99" spans="2:6" x14ac:dyDescent="0.25">
      <c r="B99" s="5" t="s">
        <v>96</v>
      </c>
      <c r="C99" s="5">
        <v>27</v>
      </c>
      <c r="D99" s="5" t="s">
        <v>105</v>
      </c>
      <c r="E99" s="5" t="s">
        <v>108</v>
      </c>
      <c r="F99" s="6">
        <v>994764</v>
      </c>
    </row>
    <row r="100" spans="2:6" x14ac:dyDescent="0.25">
      <c r="B100" s="5" t="s">
        <v>97</v>
      </c>
      <c r="C100" s="5">
        <v>26</v>
      </c>
      <c r="D100" s="5" t="s">
        <v>106</v>
      </c>
      <c r="E100" s="5" t="s">
        <v>107</v>
      </c>
      <c r="F100" s="6">
        <v>915044</v>
      </c>
    </row>
    <row r="101" spans="2:6" x14ac:dyDescent="0.25">
      <c r="B101" s="5" t="s">
        <v>98</v>
      </c>
      <c r="C101" s="5">
        <v>38</v>
      </c>
      <c r="D101" s="5" t="s">
        <v>106</v>
      </c>
      <c r="E101" s="5" t="s">
        <v>107</v>
      </c>
      <c r="F101" s="6">
        <v>700055</v>
      </c>
    </row>
    <row r="102" spans="2:6" x14ac:dyDescent="0.25">
      <c r="B102" s="5" t="s">
        <v>99</v>
      </c>
      <c r="C102" s="5">
        <v>21</v>
      </c>
      <c r="D102" s="5" t="s">
        <v>106</v>
      </c>
      <c r="E102" s="5" t="s">
        <v>107</v>
      </c>
      <c r="F102" s="6">
        <v>523554</v>
      </c>
    </row>
    <row r="103" spans="2:6" x14ac:dyDescent="0.25">
      <c r="B103" s="5" t="s">
        <v>100</v>
      </c>
      <c r="C103" s="5">
        <v>25</v>
      </c>
      <c r="D103" s="5" t="s">
        <v>105</v>
      </c>
      <c r="E103" s="5" t="s">
        <v>107</v>
      </c>
      <c r="F103" s="6">
        <v>745174</v>
      </c>
    </row>
    <row r="104" spans="2:6" x14ac:dyDescent="0.25">
      <c r="B104" s="5" t="s">
        <v>101</v>
      </c>
      <c r="C104" s="5">
        <v>26</v>
      </c>
      <c r="D104" s="5" t="s">
        <v>105</v>
      </c>
      <c r="E104" s="5" t="s">
        <v>107</v>
      </c>
      <c r="F104" s="6">
        <v>700284</v>
      </c>
    </row>
    <row r="105" spans="2:6" x14ac:dyDescent="0.25">
      <c r="B105" s="5" t="s">
        <v>102</v>
      </c>
      <c r="C105" s="5">
        <v>30</v>
      </c>
      <c r="D105" s="5" t="s">
        <v>106</v>
      </c>
      <c r="E105" s="5" t="s">
        <v>107</v>
      </c>
      <c r="F105" s="6">
        <v>990431</v>
      </c>
    </row>
    <row r="106" spans="2:6" x14ac:dyDescent="0.25">
      <c r="B106" s="5" t="s">
        <v>103</v>
      </c>
      <c r="C106" s="5">
        <v>38</v>
      </c>
      <c r="D106" s="5" t="s">
        <v>105</v>
      </c>
      <c r="E106" s="5" t="s">
        <v>107</v>
      </c>
      <c r="F106" s="6">
        <v>254021</v>
      </c>
    </row>
    <row r="107" spans="2:6" x14ac:dyDescent="0.25">
      <c r="B107" s="5" t="s">
        <v>104</v>
      </c>
      <c r="C107" s="5">
        <v>21</v>
      </c>
      <c r="D107" s="5" t="s">
        <v>106</v>
      </c>
      <c r="E107" s="5" t="s">
        <v>108</v>
      </c>
      <c r="F107" s="6">
        <v>409022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629CB57-667E-49E1-AE81-89508DEF2D16}">
          <x14:formula1>
            <xm:f>Tables!$D$6:$D$7</xm:f>
          </x14:formula1>
          <xm:sqref>E8:E108</xm:sqref>
        </x14:dataValidation>
        <x14:dataValidation type="list" allowBlank="1" showInputMessage="1" showErrorMessage="1" xr:uid="{EE7E9799-76CB-46AF-B7C6-B1D666B72334}">
          <x14:formula1>
            <xm:f>Tables!$F$6:$F$7</xm:f>
          </x14:formula1>
          <xm:sqref>D8:D108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EDDC6-7282-45DB-8C32-6D7082621A97}">
  <dimension ref="A1:F125"/>
  <sheetViews>
    <sheetView workbookViewId="0">
      <selection activeCell="I11" sqref="I11"/>
    </sheetView>
  </sheetViews>
  <sheetFormatPr defaultRowHeight="15" x14ac:dyDescent="0.25"/>
  <cols>
    <col min="4" max="4" width="15.7109375" customWidth="1"/>
    <col min="6" max="6" width="9.85546875" customWidth="1"/>
  </cols>
  <sheetData>
    <row r="1" spans="1:6" x14ac:dyDescent="0.25">
      <c r="A1" t="s">
        <v>109</v>
      </c>
      <c r="B1" s="1">
        <v>0.04</v>
      </c>
      <c r="D1" t="s">
        <v>122</v>
      </c>
      <c r="E1" t="s">
        <v>123</v>
      </c>
    </row>
    <row r="2" spans="1:6" x14ac:dyDescent="0.25">
      <c r="A2" t="s">
        <v>111</v>
      </c>
      <c r="B2" s="1">
        <v>0.1</v>
      </c>
    </row>
    <row r="3" spans="1:6" x14ac:dyDescent="0.25">
      <c r="B3" s="1"/>
    </row>
    <row r="5" spans="1:6" x14ac:dyDescent="0.25">
      <c r="A5" s="2" t="s">
        <v>1</v>
      </c>
      <c r="B5" t="s">
        <v>110</v>
      </c>
      <c r="D5" t="s">
        <v>3</v>
      </c>
      <c r="F5" t="s">
        <v>2</v>
      </c>
    </row>
    <row r="6" spans="1:6" x14ac:dyDescent="0.25">
      <c r="A6" s="2">
        <v>0</v>
      </c>
      <c r="B6">
        <v>7.2000000000000002E-5</v>
      </c>
      <c r="D6" t="s">
        <v>108</v>
      </c>
      <c r="F6" t="s">
        <v>105</v>
      </c>
    </row>
    <row r="7" spans="1:6" x14ac:dyDescent="0.25">
      <c r="A7" s="2">
        <v>1</v>
      </c>
      <c r="B7">
        <v>4.6E-5</v>
      </c>
      <c r="D7" t="s">
        <v>107</v>
      </c>
      <c r="F7" t="s">
        <v>106</v>
      </c>
    </row>
    <row r="8" spans="1:6" x14ac:dyDescent="0.25">
      <c r="A8" s="2">
        <v>2</v>
      </c>
      <c r="B8">
        <v>3.3000000000000003E-5</v>
      </c>
    </row>
    <row r="9" spans="1:6" x14ac:dyDescent="0.25">
      <c r="A9" s="2">
        <v>3</v>
      </c>
      <c r="B9">
        <v>2.4000000000000001E-5</v>
      </c>
    </row>
    <row r="10" spans="1:6" x14ac:dyDescent="0.25">
      <c r="A10" s="2">
        <v>4</v>
      </c>
      <c r="B10">
        <v>2.0999999999999999E-5</v>
      </c>
    </row>
    <row r="11" spans="1:6" x14ac:dyDescent="0.25">
      <c r="A11" s="2">
        <v>5</v>
      </c>
      <c r="B11">
        <v>2.1999999999999999E-5</v>
      </c>
    </row>
    <row r="12" spans="1:6" x14ac:dyDescent="0.25">
      <c r="A12" s="2">
        <v>6</v>
      </c>
      <c r="B12">
        <v>2.1999999999999999E-5</v>
      </c>
    </row>
    <row r="13" spans="1:6" x14ac:dyDescent="0.25">
      <c r="A13" s="2">
        <v>7</v>
      </c>
      <c r="B13">
        <v>2.1999999999999999E-5</v>
      </c>
    </row>
    <row r="14" spans="1:6" x14ac:dyDescent="0.25">
      <c r="A14" s="2">
        <v>8</v>
      </c>
      <c r="B14">
        <v>2.1999999999999999E-5</v>
      </c>
    </row>
    <row r="15" spans="1:6" x14ac:dyDescent="0.25">
      <c r="A15" s="2">
        <v>9</v>
      </c>
      <c r="B15">
        <v>2.3E-5</v>
      </c>
    </row>
    <row r="16" spans="1:6" x14ac:dyDescent="0.25">
      <c r="A16" s="2">
        <v>10</v>
      </c>
      <c r="B16">
        <v>2.4000000000000001E-5</v>
      </c>
    </row>
    <row r="17" spans="1:2" x14ac:dyDescent="0.25">
      <c r="A17" s="2">
        <v>11</v>
      </c>
      <c r="B17">
        <v>2.8000000000000003E-5</v>
      </c>
    </row>
    <row r="18" spans="1:2" x14ac:dyDescent="0.25">
      <c r="A18" s="2">
        <v>12</v>
      </c>
      <c r="B18">
        <v>3.4E-5</v>
      </c>
    </row>
    <row r="19" spans="1:2" x14ac:dyDescent="0.25">
      <c r="A19" s="2">
        <v>13</v>
      </c>
      <c r="B19">
        <v>4.0000000000000003E-5</v>
      </c>
    </row>
    <row r="20" spans="1:2" x14ac:dyDescent="0.25">
      <c r="A20" s="2">
        <v>14</v>
      </c>
      <c r="B20">
        <v>5.2000000000000004E-5</v>
      </c>
    </row>
    <row r="21" spans="1:2" x14ac:dyDescent="0.25">
      <c r="A21" s="2">
        <v>15</v>
      </c>
      <c r="B21">
        <v>6.6000000000000005E-5</v>
      </c>
    </row>
    <row r="22" spans="1:2" x14ac:dyDescent="0.25">
      <c r="A22" s="2">
        <v>16</v>
      </c>
      <c r="B22">
        <v>7.7999999999999999E-5</v>
      </c>
    </row>
    <row r="23" spans="1:2" x14ac:dyDescent="0.25">
      <c r="A23" s="2">
        <v>17</v>
      </c>
      <c r="B23">
        <v>8.8999999999999995E-5</v>
      </c>
    </row>
    <row r="24" spans="1:2" x14ac:dyDescent="0.25">
      <c r="A24" s="2">
        <v>18</v>
      </c>
      <c r="B24">
        <v>9.4999999999999992E-5</v>
      </c>
    </row>
    <row r="25" spans="1:2" x14ac:dyDescent="0.25">
      <c r="A25" s="2">
        <v>19</v>
      </c>
      <c r="B25">
        <v>9.7999999999999997E-5</v>
      </c>
    </row>
    <row r="26" spans="1:2" x14ac:dyDescent="0.25">
      <c r="A26" s="2">
        <v>20</v>
      </c>
      <c r="B26">
        <v>1E-4</v>
      </c>
    </row>
    <row r="27" spans="1:2" x14ac:dyDescent="0.25">
      <c r="A27" s="2">
        <v>21</v>
      </c>
      <c r="B27">
        <v>1.01E-4</v>
      </c>
    </row>
    <row r="28" spans="1:2" x14ac:dyDescent="0.25">
      <c r="A28" s="2">
        <v>22</v>
      </c>
      <c r="B28">
        <v>1.02E-4</v>
      </c>
    </row>
    <row r="29" spans="1:2" x14ac:dyDescent="0.25">
      <c r="A29" s="2">
        <v>23</v>
      </c>
      <c r="B29">
        <v>1.0400000000000001E-4</v>
      </c>
    </row>
    <row r="30" spans="1:2" x14ac:dyDescent="0.25">
      <c r="A30" s="2">
        <v>24</v>
      </c>
      <c r="B30">
        <v>1.06E-4</v>
      </c>
    </row>
    <row r="31" spans="1:2" x14ac:dyDescent="0.25">
      <c r="A31" s="2">
        <v>25</v>
      </c>
      <c r="B31">
        <v>1.0900000000000001E-4</v>
      </c>
    </row>
    <row r="32" spans="1:2" x14ac:dyDescent="0.25">
      <c r="A32" s="2">
        <v>26</v>
      </c>
      <c r="B32">
        <v>1.1399999999999999E-4</v>
      </c>
    </row>
    <row r="33" spans="1:2" x14ac:dyDescent="0.25">
      <c r="A33" s="2">
        <v>27</v>
      </c>
      <c r="B33">
        <v>1.17E-4</v>
      </c>
    </row>
    <row r="34" spans="1:2" x14ac:dyDescent="0.25">
      <c r="A34" s="2">
        <v>28</v>
      </c>
      <c r="B34">
        <v>1.1599999999999999E-4</v>
      </c>
    </row>
    <row r="35" spans="1:2" x14ac:dyDescent="0.25">
      <c r="A35" s="2">
        <v>29</v>
      </c>
      <c r="B35">
        <v>1.1499999999999999E-4</v>
      </c>
    </row>
    <row r="36" spans="1:2" x14ac:dyDescent="0.25">
      <c r="A36" s="2">
        <v>30</v>
      </c>
      <c r="B36">
        <v>1.1399999999999999E-4</v>
      </c>
    </row>
    <row r="37" spans="1:2" x14ac:dyDescent="0.25">
      <c r="A37" s="2">
        <v>31</v>
      </c>
      <c r="B37">
        <v>1.13E-4</v>
      </c>
    </row>
    <row r="38" spans="1:2" x14ac:dyDescent="0.25">
      <c r="A38" s="2">
        <v>32</v>
      </c>
      <c r="B38">
        <v>1.1399999999999999E-4</v>
      </c>
    </row>
    <row r="39" spans="1:2" x14ac:dyDescent="0.25">
      <c r="A39" s="2">
        <v>33</v>
      </c>
      <c r="B39">
        <v>1.1599999999999999E-4</v>
      </c>
    </row>
    <row r="40" spans="1:2" x14ac:dyDescent="0.25">
      <c r="A40" s="2">
        <v>34</v>
      </c>
      <c r="B40">
        <v>1.1899999999999999E-4</v>
      </c>
    </row>
    <row r="41" spans="1:2" x14ac:dyDescent="0.25">
      <c r="A41" s="2">
        <v>35</v>
      </c>
      <c r="B41">
        <v>1.2400000000000001E-4</v>
      </c>
    </row>
    <row r="42" spans="1:2" x14ac:dyDescent="0.25">
      <c r="A42" s="2">
        <v>36</v>
      </c>
      <c r="B42">
        <v>1.3100000000000001E-4</v>
      </c>
    </row>
    <row r="43" spans="1:2" x14ac:dyDescent="0.25">
      <c r="A43" s="2">
        <v>37</v>
      </c>
      <c r="B43">
        <v>1.3899999999999999E-4</v>
      </c>
    </row>
    <row r="44" spans="1:2" x14ac:dyDescent="0.25">
      <c r="A44" s="2">
        <v>38</v>
      </c>
      <c r="B44">
        <v>1.4899999999999999E-4</v>
      </c>
    </row>
    <row r="45" spans="1:2" x14ac:dyDescent="0.25">
      <c r="A45" s="2">
        <v>39</v>
      </c>
      <c r="B45">
        <v>1.5900000000000002E-4</v>
      </c>
    </row>
    <row r="46" spans="1:2" x14ac:dyDescent="0.25">
      <c r="A46" s="2">
        <v>40</v>
      </c>
      <c r="B46">
        <v>1.7200000000000001E-4</v>
      </c>
    </row>
    <row r="47" spans="1:2" x14ac:dyDescent="0.25">
      <c r="A47" s="2">
        <v>41</v>
      </c>
      <c r="B47">
        <v>1.8700000000000002E-4</v>
      </c>
    </row>
    <row r="48" spans="1:2" x14ac:dyDescent="0.25">
      <c r="A48" s="2">
        <v>42</v>
      </c>
      <c r="B48">
        <v>2.05E-4</v>
      </c>
    </row>
    <row r="49" spans="1:2" x14ac:dyDescent="0.25">
      <c r="A49" s="2">
        <v>43</v>
      </c>
      <c r="B49">
        <v>2.2699999999999999E-4</v>
      </c>
    </row>
    <row r="50" spans="1:2" x14ac:dyDescent="0.25">
      <c r="A50" s="2">
        <v>44</v>
      </c>
      <c r="B50">
        <v>2.52E-4</v>
      </c>
    </row>
    <row r="51" spans="1:2" x14ac:dyDescent="0.25">
      <c r="A51" s="2">
        <v>45</v>
      </c>
      <c r="B51">
        <v>2.7700000000000001E-4</v>
      </c>
    </row>
    <row r="52" spans="1:2" x14ac:dyDescent="0.25">
      <c r="A52" s="2">
        <v>46</v>
      </c>
      <c r="B52">
        <v>3.0299999999999999E-4</v>
      </c>
    </row>
    <row r="53" spans="1:2" x14ac:dyDescent="0.25">
      <c r="A53" s="2">
        <v>47</v>
      </c>
      <c r="B53">
        <v>3.2499999999999999E-4</v>
      </c>
    </row>
    <row r="54" spans="1:2" x14ac:dyDescent="0.25">
      <c r="A54" s="2">
        <v>48</v>
      </c>
      <c r="B54">
        <v>3.4200000000000002E-4</v>
      </c>
    </row>
    <row r="55" spans="1:2" x14ac:dyDescent="0.25">
      <c r="A55" s="2">
        <v>49</v>
      </c>
      <c r="B55">
        <v>3.6400000000000001E-4</v>
      </c>
    </row>
    <row r="56" spans="1:2" x14ac:dyDescent="0.25">
      <c r="A56" s="2">
        <v>50</v>
      </c>
      <c r="B56">
        <v>3.9100000000000002E-4</v>
      </c>
    </row>
    <row r="57" spans="1:2" x14ac:dyDescent="0.25">
      <c r="A57" s="2">
        <v>51</v>
      </c>
      <c r="B57">
        <v>4.26E-4</v>
      </c>
    </row>
    <row r="58" spans="1:2" x14ac:dyDescent="0.25">
      <c r="A58" s="2">
        <v>52</v>
      </c>
      <c r="B58">
        <v>4.7000000000000004E-4</v>
      </c>
    </row>
    <row r="59" spans="1:2" x14ac:dyDescent="0.25">
      <c r="A59" s="2">
        <v>53</v>
      </c>
      <c r="B59">
        <v>5.2099999999999998E-4</v>
      </c>
    </row>
    <row r="60" spans="1:2" x14ac:dyDescent="0.25">
      <c r="A60" s="2">
        <v>54</v>
      </c>
      <c r="B60">
        <v>5.8299999999999997E-4</v>
      </c>
    </row>
    <row r="61" spans="1:2" x14ac:dyDescent="0.25">
      <c r="A61" s="2">
        <v>55</v>
      </c>
      <c r="B61">
        <v>6.5199999999999991E-4</v>
      </c>
    </row>
    <row r="62" spans="1:2" x14ac:dyDescent="0.25">
      <c r="A62" s="2">
        <v>56</v>
      </c>
      <c r="B62">
        <v>7.2599999999999997E-4</v>
      </c>
    </row>
    <row r="63" spans="1:2" x14ac:dyDescent="0.25">
      <c r="A63" s="2">
        <v>57</v>
      </c>
      <c r="B63">
        <v>7.9500000000000003E-4</v>
      </c>
    </row>
    <row r="64" spans="1:2" x14ac:dyDescent="0.25">
      <c r="A64" s="2">
        <v>58</v>
      </c>
      <c r="B64">
        <v>8.6300000000000005E-4</v>
      </c>
    </row>
    <row r="65" spans="1:2" x14ac:dyDescent="0.25">
      <c r="A65" s="2">
        <v>59</v>
      </c>
      <c r="B65">
        <v>9.4200000000000002E-4</v>
      </c>
    </row>
    <row r="66" spans="1:2" x14ac:dyDescent="0.25">
      <c r="A66" s="2">
        <v>60</v>
      </c>
      <c r="B66">
        <v>1.0400000000000001E-3</v>
      </c>
    </row>
    <row r="67" spans="1:2" x14ac:dyDescent="0.25">
      <c r="A67" s="2">
        <v>61</v>
      </c>
      <c r="B67">
        <v>1.1590000000000001E-3</v>
      </c>
    </row>
    <row r="68" spans="1:2" x14ac:dyDescent="0.25">
      <c r="A68" s="2">
        <v>62</v>
      </c>
      <c r="B68">
        <v>1.2980000000000001E-3</v>
      </c>
    </row>
    <row r="69" spans="1:2" x14ac:dyDescent="0.25">
      <c r="A69" s="2">
        <v>63</v>
      </c>
      <c r="B69">
        <v>1.4470000000000002E-3</v>
      </c>
    </row>
    <row r="70" spans="1:2" x14ac:dyDescent="0.25">
      <c r="A70" s="2">
        <v>64</v>
      </c>
      <c r="B70">
        <v>1.604E-3</v>
      </c>
    </row>
    <row r="71" spans="1:2" x14ac:dyDescent="0.25">
      <c r="A71" s="2">
        <v>65</v>
      </c>
      <c r="B71">
        <v>1.7649999999999999E-3</v>
      </c>
    </row>
    <row r="72" spans="1:2" x14ac:dyDescent="0.25">
      <c r="A72" s="2">
        <v>66</v>
      </c>
      <c r="B72">
        <v>1.9269999999999999E-3</v>
      </c>
    </row>
    <row r="73" spans="1:2" x14ac:dyDescent="0.25">
      <c r="A73" s="2">
        <v>67</v>
      </c>
      <c r="B73">
        <v>2.0960000000000002E-3</v>
      </c>
    </row>
    <row r="74" spans="1:2" x14ac:dyDescent="0.25">
      <c r="A74" s="2">
        <v>68</v>
      </c>
      <c r="B74">
        <v>2.274E-3</v>
      </c>
    </row>
    <row r="75" spans="1:2" x14ac:dyDescent="0.25">
      <c r="A75" s="2">
        <v>69</v>
      </c>
      <c r="B75">
        <v>2.4690000000000003E-3</v>
      </c>
    </row>
    <row r="76" spans="1:2" x14ac:dyDescent="0.25">
      <c r="A76" s="2">
        <v>70</v>
      </c>
      <c r="B76">
        <v>2.6940000000000002E-3</v>
      </c>
    </row>
    <row r="77" spans="1:2" x14ac:dyDescent="0.25">
      <c r="A77" s="2">
        <v>71</v>
      </c>
      <c r="B77">
        <v>2.9710000000000001E-3</v>
      </c>
    </row>
    <row r="78" spans="1:2" x14ac:dyDescent="0.25">
      <c r="A78" s="2">
        <v>72</v>
      </c>
      <c r="B78">
        <v>3.2939999999999996E-3</v>
      </c>
    </row>
    <row r="79" spans="1:2" x14ac:dyDescent="0.25">
      <c r="A79" s="2">
        <v>73</v>
      </c>
      <c r="B79">
        <v>3.6319999999999998E-3</v>
      </c>
    </row>
    <row r="80" spans="1:2" x14ac:dyDescent="0.25">
      <c r="A80" s="2">
        <v>74</v>
      </c>
      <c r="B80">
        <v>3.9960000000000004E-3</v>
      </c>
    </row>
    <row r="81" spans="1:2" x14ac:dyDescent="0.25">
      <c r="A81" s="2">
        <v>75</v>
      </c>
      <c r="B81">
        <v>4.3950000000000005E-3</v>
      </c>
    </row>
    <row r="82" spans="1:2" x14ac:dyDescent="0.25">
      <c r="A82" s="2">
        <v>76</v>
      </c>
      <c r="B82">
        <v>4.8439999999999993E-3</v>
      </c>
    </row>
    <row r="83" spans="1:2" x14ac:dyDescent="0.25">
      <c r="A83" s="2">
        <v>77</v>
      </c>
      <c r="B83">
        <v>5.3670000000000002E-3</v>
      </c>
    </row>
    <row r="84" spans="1:2" x14ac:dyDescent="0.25">
      <c r="A84" s="2">
        <v>78</v>
      </c>
      <c r="B84">
        <v>5.9719999999999999E-3</v>
      </c>
    </row>
    <row r="85" spans="1:2" x14ac:dyDescent="0.25">
      <c r="A85" s="2">
        <v>79</v>
      </c>
      <c r="B85">
        <v>6.6480000000000003E-3</v>
      </c>
    </row>
    <row r="86" spans="1:2" x14ac:dyDescent="0.25">
      <c r="A86" s="2">
        <v>80</v>
      </c>
      <c r="B86">
        <v>7.4019999999999997E-3</v>
      </c>
    </row>
    <row r="87" spans="1:2" x14ac:dyDescent="0.25">
      <c r="A87" s="2">
        <v>81</v>
      </c>
      <c r="B87">
        <v>8.2199999999999999E-3</v>
      </c>
    </row>
    <row r="88" spans="1:2" x14ac:dyDescent="0.25">
      <c r="A88" s="2">
        <v>82</v>
      </c>
      <c r="B88">
        <v>9.0819999999999998E-3</v>
      </c>
    </row>
    <row r="89" spans="1:2" x14ac:dyDescent="0.25">
      <c r="A89" s="2">
        <v>83</v>
      </c>
      <c r="B89">
        <v>1.0022E-2</v>
      </c>
    </row>
    <row r="90" spans="1:2" x14ac:dyDescent="0.25">
      <c r="A90" s="2">
        <v>84</v>
      </c>
      <c r="B90">
        <v>1.1068999999999999E-2</v>
      </c>
    </row>
    <row r="91" spans="1:2" x14ac:dyDescent="0.25">
      <c r="A91" s="2">
        <v>85</v>
      </c>
      <c r="B91">
        <v>1.2236E-2</v>
      </c>
    </row>
    <row r="92" spans="1:2" x14ac:dyDescent="0.25">
      <c r="A92" s="2">
        <v>86</v>
      </c>
      <c r="B92">
        <v>1.3517E-2</v>
      </c>
    </row>
    <row r="93" spans="1:2" x14ac:dyDescent="0.25">
      <c r="A93" s="2">
        <v>87</v>
      </c>
      <c r="B93">
        <v>1.4899000000000001E-2</v>
      </c>
    </row>
    <row r="94" spans="1:2" x14ac:dyDescent="0.25">
      <c r="A94" s="2">
        <v>88</v>
      </c>
      <c r="B94">
        <v>1.6299999999999999E-2</v>
      </c>
    </row>
    <row r="95" spans="1:2" x14ac:dyDescent="0.25">
      <c r="A95" s="2">
        <v>89</v>
      </c>
      <c r="B95">
        <v>1.7902999999999999E-2</v>
      </c>
    </row>
    <row r="96" spans="1:2" x14ac:dyDescent="0.25">
      <c r="A96" s="2">
        <v>90</v>
      </c>
      <c r="B96">
        <v>2.0927000000000001E-2</v>
      </c>
    </row>
    <row r="97" spans="1:2" x14ac:dyDescent="0.25">
      <c r="A97" s="2">
        <v>91</v>
      </c>
      <c r="B97">
        <v>2.2494E-2</v>
      </c>
    </row>
    <row r="98" spans="1:2" x14ac:dyDescent="0.25">
      <c r="A98" s="2">
        <v>92</v>
      </c>
      <c r="B98">
        <v>2.4146000000000001E-2</v>
      </c>
    </row>
    <row r="99" spans="1:2" x14ac:dyDescent="0.25">
      <c r="A99" s="2">
        <v>93</v>
      </c>
      <c r="B99">
        <v>2.5886000000000003E-2</v>
      </c>
    </row>
    <row r="100" spans="1:2" x14ac:dyDescent="0.25">
      <c r="A100" s="2">
        <v>94</v>
      </c>
      <c r="B100">
        <v>2.7612000000000001E-2</v>
      </c>
    </row>
    <row r="101" spans="1:2" x14ac:dyDescent="0.25">
      <c r="A101" s="2">
        <v>95</v>
      </c>
      <c r="B101">
        <v>2.9294999999999998E-2</v>
      </c>
    </row>
    <row r="102" spans="1:2" x14ac:dyDescent="0.25">
      <c r="A102" s="2">
        <v>96</v>
      </c>
      <c r="B102">
        <v>3.1086000000000003E-2</v>
      </c>
    </row>
    <row r="103" spans="1:2" x14ac:dyDescent="0.25">
      <c r="A103" s="2">
        <v>97</v>
      </c>
      <c r="B103">
        <v>3.2994999999999997E-2</v>
      </c>
    </row>
    <row r="104" spans="1:2" x14ac:dyDescent="0.25">
      <c r="A104" s="2">
        <v>98</v>
      </c>
      <c r="B104">
        <v>3.5032000000000001E-2</v>
      </c>
    </row>
    <row r="105" spans="1:2" x14ac:dyDescent="0.25">
      <c r="A105" s="2">
        <v>99</v>
      </c>
      <c r="B105">
        <v>3.6976000000000002E-2</v>
      </c>
    </row>
    <row r="106" spans="1:2" x14ac:dyDescent="0.25">
      <c r="A106" s="2">
        <v>100</v>
      </c>
      <c r="B106">
        <v>3.8696000000000001E-2</v>
      </c>
    </row>
    <row r="107" spans="1:2" x14ac:dyDescent="0.25">
      <c r="A107" s="2">
        <v>101</v>
      </c>
      <c r="B107">
        <v>4.0524999999999999E-2</v>
      </c>
    </row>
    <row r="108" spans="1:2" x14ac:dyDescent="0.25">
      <c r="A108" s="2">
        <v>102</v>
      </c>
      <c r="B108">
        <v>4.2470000000000001E-2</v>
      </c>
    </row>
    <row r="109" spans="1:2" x14ac:dyDescent="0.25">
      <c r="A109" s="2">
        <v>103</v>
      </c>
      <c r="B109">
        <v>4.4535000000000005E-2</v>
      </c>
    </row>
    <row r="110" spans="1:2" x14ac:dyDescent="0.25">
      <c r="A110" s="2">
        <v>104</v>
      </c>
      <c r="B110">
        <v>4.6729E-2</v>
      </c>
    </row>
    <row r="111" spans="1:2" x14ac:dyDescent="0.25">
      <c r="A111" s="2">
        <v>105</v>
      </c>
      <c r="B111">
        <v>4.9056999999999996E-2</v>
      </c>
    </row>
    <row r="112" spans="1:2" x14ac:dyDescent="0.25">
      <c r="A112" s="2">
        <v>106</v>
      </c>
      <c r="B112">
        <v>5.1527999999999997E-2</v>
      </c>
    </row>
    <row r="113" spans="1:2" x14ac:dyDescent="0.25">
      <c r="A113" s="2">
        <v>107</v>
      </c>
      <c r="B113">
        <v>5.4149000000000003E-2</v>
      </c>
    </row>
    <row r="114" spans="1:2" x14ac:dyDescent="0.25">
      <c r="A114" s="2">
        <v>108</v>
      </c>
      <c r="B114">
        <v>5.6926999999999998E-2</v>
      </c>
    </row>
    <row r="115" spans="1:2" x14ac:dyDescent="0.25">
      <c r="A115" s="2">
        <v>109</v>
      </c>
      <c r="B115">
        <v>5.9870000000000007E-2</v>
      </c>
    </row>
    <row r="116" spans="1:2" x14ac:dyDescent="0.25">
      <c r="A116" s="2">
        <v>110</v>
      </c>
      <c r="B116">
        <v>6.2988000000000002E-2</v>
      </c>
    </row>
    <row r="117" spans="1:2" x14ac:dyDescent="0.25">
      <c r="A117" s="2">
        <v>111</v>
      </c>
      <c r="B117">
        <v>6.6286999999999999E-2</v>
      </c>
    </row>
    <row r="118" spans="1:2" x14ac:dyDescent="0.25">
      <c r="A118" s="2">
        <v>112</v>
      </c>
      <c r="B118">
        <v>6.9777999999999993E-2</v>
      </c>
    </row>
    <row r="119" spans="1:2" x14ac:dyDescent="0.25">
      <c r="A119" s="2">
        <v>113</v>
      </c>
      <c r="B119">
        <v>7.3467999999999992E-2</v>
      </c>
    </row>
    <row r="120" spans="1:2" x14ac:dyDescent="0.25">
      <c r="A120" s="2">
        <v>114</v>
      </c>
      <c r="B120">
        <v>7.736599999999999E-2</v>
      </c>
    </row>
    <row r="121" spans="1:2" x14ac:dyDescent="0.25">
      <c r="A121" s="2">
        <v>115</v>
      </c>
      <c r="B121">
        <v>8.1477999999999995E-2</v>
      </c>
    </row>
    <row r="122" spans="1:2" x14ac:dyDescent="0.25">
      <c r="A122" s="2">
        <v>116</v>
      </c>
      <c r="B122">
        <v>8.5815000000000002E-2</v>
      </c>
    </row>
    <row r="123" spans="1:2" x14ac:dyDescent="0.25">
      <c r="A123" s="2">
        <v>117</v>
      </c>
      <c r="B123">
        <v>9.0380999999999989E-2</v>
      </c>
    </row>
    <row r="124" spans="1:2" x14ac:dyDescent="0.25">
      <c r="A124" s="2">
        <v>118</v>
      </c>
      <c r="B124">
        <v>9.5167000000000002E-2</v>
      </c>
    </row>
    <row r="125" spans="1:2" x14ac:dyDescent="0.25">
      <c r="A125" s="2">
        <v>119</v>
      </c>
      <c r="B125">
        <v>0.1</v>
      </c>
    </row>
  </sheetData>
  <sheetProtection algorithmName="SHA-512" hashValue="DnXqTp85fzg43AGLOQ3nmd9jByQhGRfWIKq+wmgAotOneBERM3B8NBQilskWdr2/dGIq5/8Xlmm4agEJAYN+Ww==" saltValue="lxVBljE2MbwMEtT9rRgZWg==" spinCount="100000" sheet="1" objects="1" scenarios="1"/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FE999-4162-4AD2-B144-2989265063CA}">
  <dimension ref="B1:J105"/>
  <sheetViews>
    <sheetView workbookViewId="0">
      <selection activeCell="E7" sqref="E7"/>
    </sheetView>
  </sheetViews>
  <sheetFormatPr defaultRowHeight="15" x14ac:dyDescent="0.25"/>
  <cols>
    <col min="2" max="2" width="10.85546875" bestFit="1" customWidth="1"/>
    <col min="3" max="3" width="6.7109375" bestFit="1" customWidth="1"/>
    <col min="4" max="4" width="10" bestFit="1" customWidth="1"/>
    <col min="5" max="5" width="16" bestFit="1" customWidth="1"/>
    <col min="6" max="6" width="14.85546875" bestFit="1" customWidth="1"/>
    <col min="7" max="7" width="10.7109375" customWidth="1"/>
    <col min="8" max="8" width="18" customWidth="1"/>
    <col min="9" max="9" width="9.85546875" customWidth="1"/>
    <col min="10" max="10" width="15.7109375" customWidth="1"/>
    <col min="11" max="11" width="14.7109375" customWidth="1"/>
    <col min="13" max="13" width="21.28515625" bestFit="1" customWidth="1"/>
    <col min="14" max="14" width="18.85546875" bestFit="1" customWidth="1"/>
  </cols>
  <sheetData>
    <row r="1" spans="2:10" x14ac:dyDescent="0.25">
      <c r="B1" t="s">
        <v>122</v>
      </c>
      <c r="C1" t="s">
        <v>123</v>
      </c>
    </row>
    <row r="5" spans="2:10" x14ac:dyDescent="0.25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112</v>
      </c>
      <c r="H5" t="s">
        <v>121</v>
      </c>
      <c r="I5" t="s">
        <v>113</v>
      </c>
      <c r="J5" t="s">
        <v>114</v>
      </c>
    </row>
    <row r="6" spans="2:10" x14ac:dyDescent="0.25">
      <c r="B6" t="s">
        <v>5</v>
      </c>
      <c r="C6">
        <v>28</v>
      </c>
      <c r="D6" t="s">
        <v>105</v>
      </c>
      <c r="E6" t="s">
        <v>107</v>
      </c>
      <c r="F6">
        <v>919270</v>
      </c>
      <c r="G6">
        <f>INDEX(mort_table[],MATCH(Policyholder_Data__2[[#This Row],[Age]],mort_table[Age],0),2)</f>
        <v>1.1599999999999999E-4</v>
      </c>
      <c r="H6">
        <f>Policyholder_Data__2[[#This Row],[Face Amount]]*G6*((1+int_rate)^-1)</f>
        <v>102.53396153846153</v>
      </c>
      <c r="I6">
        <f>IF(Policyholder_Data__2[[#This Row],[Smoker Status]]="Smoker",H6*1.5,H6)</f>
        <v>102.53396153846153</v>
      </c>
      <c r="J6">
        <f t="shared" ref="J6:J37" si="0">I6/(1-expense_load)</f>
        <v>113.92662393162391</v>
      </c>
    </row>
    <row r="7" spans="2:10" x14ac:dyDescent="0.25">
      <c r="B7" t="s">
        <v>6</v>
      </c>
      <c r="C7">
        <v>24</v>
      </c>
      <c r="D7" t="s">
        <v>106</v>
      </c>
      <c r="E7" t="s">
        <v>108</v>
      </c>
      <c r="F7">
        <v>692994</v>
      </c>
      <c r="G7">
        <f>INDEX(mort_table[],MATCH(Policyholder_Data__2[[#This Row],[Age]],mort_table[Age],0),2)</f>
        <v>1.06E-4</v>
      </c>
      <c r="H7">
        <f>Policyholder_Data__2[[#This Row],[Face Amount]]*G7*((1+int_rate)^-1)</f>
        <v>70.632080769230768</v>
      </c>
      <c r="I7">
        <f>IF(Policyholder_Data__2[[#This Row],[Smoker Status]]="Smoker",H7*1.5,H7)</f>
        <v>105.94812115384616</v>
      </c>
      <c r="J7">
        <f t="shared" si="0"/>
        <v>117.72013461538462</v>
      </c>
    </row>
    <row r="8" spans="2:10" x14ac:dyDescent="0.25">
      <c r="B8" t="s">
        <v>7</v>
      </c>
      <c r="C8">
        <v>31</v>
      </c>
      <c r="D8" t="s">
        <v>106</v>
      </c>
      <c r="E8" t="s">
        <v>107</v>
      </c>
      <c r="F8">
        <v>812925</v>
      </c>
      <c r="G8">
        <f>INDEX(mort_table[],MATCH(Policyholder_Data__2[[#This Row],[Age]],mort_table[Age],0),2)</f>
        <v>1.13E-4</v>
      </c>
      <c r="H8">
        <f>Policyholder_Data__2[[#This Row],[Face Amount]]*G8*((1+int_rate)^-1)</f>
        <v>88.327427884615375</v>
      </c>
      <c r="I8">
        <f>IF(Policyholder_Data__2[[#This Row],[Smoker Status]]="Smoker",H8*1.5,H8)</f>
        <v>88.327427884615375</v>
      </c>
      <c r="J8">
        <f t="shared" si="0"/>
        <v>98.141586538461524</v>
      </c>
    </row>
    <row r="9" spans="2:10" x14ac:dyDescent="0.25">
      <c r="B9" t="s">
        <v>8</v>
      </c>
      <c r="C9">
        <v>28</v>
      </c>
      <c r="D9" t="s">
        <v>106</v>
      </c>
      <c r="E9" t="s">
        <v>107</v>
      </c>
      <c r="F9">
        <v>936704</v>
      </c>
      <c r="G9">
        <f>INDEX(mort_table[],MATCH(Policyholder_Data__2[[#This Row],[Age]],mort_table[Age],0),2)</f>
        <v>1.1599999999999999E-4</v>
      </c>
      <c r="H9">
        <f>Policyholder_Data__2[[#This Row],[Face Amount]]*G9*((1+int_rate)^-1)</f>
        <v>104.47852307692305</v>
      </c>
      <c r="I9">
        <f>IF(Policyholder_Data__2[[#This Row],[Smoker Status]]="Smoker",H9*1.5,H9)</f>
        <v>104.47852307692305</v>
      </c>
      <c r="J9">
        <f t="shared" si="0"/>
        <v>116.08724786324784</v>
      </c>
    </row>
    <row r="10" spans="2:10" x14ac:dyDescent="0.25">
      <c r="B10" t="s">
        <v>9</v>
      </c>
      <c r="C10">
        <v>38</v>
      </c>
      <c r="D10" t="s">
        <v>105</v>
      </c>
      <c r="E10" t="s">
        <v>107</v>
      </c>
      <c r="F10">
        <v>726353</v>
      </c>
      <c r="G10">
        <f>INDEX(mort_table[],MATCH(Policyholder_Data__2[[#This Row],[Age]],mort_table[Age],0),2)</f>
        <v>1.4899999999999999E-4</v>
      </c>
      <c r="H10">
        <f>Policyholder_Data__2[[#This Row],[Face Amount]]*G10*((1+int_rate)^-1)</f>
        <v>104.06403557692306</v>
      </c>
      <c r="I10">
        <f>IF(Policyholder_Data__2[[#This Row],[Smoker Status]]="Smoker",H10*1.5,H10)</f>
        <v>104.06403557692306</v>
      </c>
      <c r="J10">
        <f t="shared" si="0"/>
        <v>115.62670619658118</v>
      </c>
    </row>
    <row r="11" spans="2:10" x14ac:dyDescent="0.25">
      <c r="B11" t="s">
        <v>10</v>
      </c>
      <c r="C11">
        <v>27</v>
      </c>
      <c r="D11" t="s">
        <v>105</v>
      </c>
      <c r="E11" t="s">
        <v>107</v>
      </c>
      <c r="F11">
        <v>490699</v>
      </c>
      <c r="G11">
        <f>INDEX(mort_table[],MATCH(Policyholder_Data__2[[#This Row],[Age]],mort_table[Age],0),2)</f>
        <v>1.17E-4</v>
      </c>
      <c r="H11">
        <f>Policyholder_Data__2[[#This Row],[Face Amount]]*G11*((1+int_rate)^-1)</f>
        <v>55.203637499999992</v>
      </c>
      <c r="I11">
        <f>IF(Policyholder_Data__2[[#This Row],[Smoker Status]]="Smoker",H11*1.5,H11)</f>
        <v>55.203637499999992</v>
      </c>
      <c r="J11">
        <f t="shared" si="0"/>
        <v>61.337374999999987</v>
      </c>
    </row>
    <row r="12" spans="2:10" x14ac:dyDescent="0.25">
      <c r="B12" t="s">
        <v>11</v>
      </c>
      <c r="C12">
        <v>21</v>
      </c>
      <c r="D12" t="s">
        <v>106</v>
      </c>
      <c r="E12" t="s">
        <v>107</v>
      </c>
      <c r="F12">
        <v>581895</v>
      </c>
      <c r="G12">
        <f>INDEX(mort_table[],MATCH(Policyholder_Data__2[[#This Row],[Age]],mort_table[Age],0),2)</f>
        <v>1.01E-4</v>
      </c>
      <c r="H12">
        <f>Policyholder_Data__2[[#This Row],[Face Amount]]*G12*((1+int_rate)^-1)</f>
        <v>56.510956730769223</v>
      </c>
      <c r="I12">
        <f>IF(Policyholder_Data__2[[#This Row],[Smoker Status]]="Smoker",H12*1.5,H12)</f>
        <v>56.510956730769223</v>
      </c>
      <c r="J12">
        <f t="shared" si="0"/>
        <v>62.789951923076913</v>
      </c>
    </row>
    <row r="13" spans="2:10" x14ac:dyDescent="0.25">
      <c r="B13" t="s">
        <v>12</v>
      </c>
      <c r="C13">
        <v>32</v>
      </c>
      <c r="D13" t="s">
        <v>105</v>
      </c>
      <c r="E13" t="s">
        <v>107</v>
      </c>
      <c r="F13">
        <v>752816</v>
      </c>
      <c r="G13">
        <f>INDEX(mort_table[],MATCH(Policyholder_Data__2[[#This Row],[Age]],mort_table[Age],0),2)</f>
        <v>1.1399999999999999E-4</v>
      </c>
      <c r="H13">
        <f>Policyholder_Data__2[[#This Row],[Face Amount]]*G13*((1+int_rate)^-1)</f>
        <v>82.520215384615369</v>
      </c>
      <c r="I13">
        <f>IF(Policyholder_Data__2[[#This Row],[Smoker Status]]="Smoker",H13*1.5,H13)</f>
        <v>82.520215384615369</v>
      </c>
      <c r="J13">
        <f t="shared" si="0"/>
        <v>91.689128205128185</v>
      </c>
    </row>
    <row r="14" spans="2:10" x14ac:dyDescent="0.25">
      <c r="B14" t="s">
        <v>13</v>
      </c>
      <c r="C14">
        <v>27</v>
      </c>
      <c r="D14" t="s">
        <v>106</v>
      </c>
      <c r="E14" t="s">
        <v>107</v>
      </c>
      <c r="F14">
        <v>691117</v>
      </c>
      <c r="G14">
        <f>INDEX(mort_table[],MATCH(Policyholder_Data__2[[#This Row],[Age]],mort_table[Age],0),2)</f>
        <v>1.17E-4</v>
      </c>
      <c r="H14">
        <f>Policyholder_Data__2[[#This Row],[Face Amount]]*G14*((1+int_rate)^-1)</f>
        <v>77.75066249999999</v>
      </c>
      <c r="I14">
        <f>IF(Policyholder_Data__2[[#This Row],[Smoker Status]]="Smoker",H14*1.5,H14)</f>
        <v>77.75066249999999</v>
      </c>
      <c r="J14">
        <f t="shared" si="0"/>
        <v>86.389624999999981</v>
      </c>
    </row>
    <row r="15" spans="2:10" x14ac:dyDescent="0.25">
      <c r="B15" t="s">
        <v>14</v>
      </c>
      <c r="C15">
        <v>27</v>
      </c>
      <c r="D15" t="s">
        <v>106</v>
      </c>
      <c r="E15" t="s">
        <v>108</v>
      </c>
      <c r="F15">
        <v>849232</v>
      </c>
      <c r="G15">
        <f>INDEX(mort_table[],MATCH(Policyholder_Data__2[[#This Row],[Age]],mort_table[Age],0),2)</f>
        <v>1.17E-4</v>
      </c>
      <c r="H15">
        <f>Policyholder_Data__2[[#This Row],[Face Amount]]*G15*((1+int_rate)^-1)</f>
        <v>95.538599999999988</v>
      </c>
      <c r="I15">
        <f>IF(Policyholder_Data__2[[#This Row],[Smoker Status]]="Smoker",H15*1.5,H15)</f>
        <v>143.30789999999999</v>
      </c>
      <c r="J15">
        <f t="shared" si="0"/>
        <v>159.23099999999999</v>
      </c>
    </row>
    <row r="16" spans="2:10" x14ac:dyDescent="0.25">
      <c r="B16" t="s">
        <v>15</v>
      </c>
      <c r="C16">
        <v>36</v>
      </c>
      <c r="D16" t="s">
        <v>106</v>
      </c>
      <c r="E16" t="s">
        <v>108</v>
      </c>
      <c r="F16">
        <v>453104</v>
      </c>
      <c r="G16">
        <f>INDEX(mort_table[],MATCH(Policyholder_Data__2[[#This Row],[Age]],mort_table[Age],0),2)</f>
        <v>1.3100000000000001E-4</v>
      </c>
      <c r="H16">
        <f>Policyholder_Data__2[[#This Row],[Face Amount]]*G16*((1+int_rate)^-1)</f>
        <v>57.073676923076924</v>
      </c>
      <c r="I16">
        <f>IF(Policyholder_Data__2[[#This Row],[Smoker Status]]="Smoker",H16*1.5,H16)</f>
        <v>85.610515384615383</v>
      </c>
      <c r="J16">
        <f t="shared" si="0"/>
        <v>95.122794871794866</v>
      </c>
    </row>
    <row r="17" spans="2:10" x14ac:dyDescent="0.25">
      <c r="B17" t="s">
        <v>16</v>
      </c>
      <c r="C17">
        <v>34</v>
      </c>
      <c r="D17" t="s">
        <v>105</v>
      </c>
      <c r="E17" t="s">
        <v>107</v>
      </c>
      <c r="F17">
        <v>891982</v>
      </c>
      <c r="G17">
        <f>INDEX(mort_table[],MATCH(Policyholder_Data__2[[#This Row],[Age]],mort_table[Age],0),2)</f>
        <v>1.1899999999999999E-4</v>
      </c>
      <c r="H17">
        <f>Policyholder_Data__2[[#This Row],[Face Amount]]*G17*((1+int_rate)^-1)</f>
        <v>102.06332499999998</v>
      </c>
      <c r="I17">
        <f>IF(Policyholder_Data__2[[#This Row],[Smoker Status]]="Smoker",H17*1.5,H17)</f>
        <v>102.06332499999998</v>
      </c>
      <c r="J17">
        <f t="shared" si="0"/>
        <v>113.40369444444441</v>
      </c>
    </row>
    <row r="18" spans="2:10" x14ac:dyDescent="0.25">
      <c r="B18" t="s">
        <v>17</v>
      </c>
      <c r="C18">
        <v>31</v>
      </c>
      <c r="D18" t="s">
        <v>105</v>
      </c>
      <c r="E18" t="s">
        <v>107</v>
      </c>
      <c r="F18">
        <v>336480</v>
      </c>
      <c r="G18">
        <f>INDEX(mort_table[],MATCH(Policyholder_Data__2[[#This Row],[Age]],mort_table[Age],0),2)</f>
        <v>1.13E-4</v>
      </c>
      <c r="H18">
        <f>Policyholder_Data__2[[#This Row],[Face Amount]]*G18*((1+int_rate)^-1)</f>
        <v>36.559846153846145</v>
      </c>
      <c r="I18">
        <f>IF(Policyholder_Data__2[[#This Row],[Smoker Status]]="Smoker",H18*1.5,H18)</f>
        <v>36.559846153846145</v>
      </c>
      <c r="J18">
        <f t="shared" si="0"/>
        <v>40.622051282051274</v>
      </c>
    </row>
    <row r="19" spans="2:10" x14ac:dyDescent="0.25">
      <c r="B19" t="s">
        <v>18</v>
      </c>
      <c r="C19">
        <v>20</v>
      </c>
      <c r="D19" t="s">
        <v>106</v>
      </c>
      <c r="E19" t="s">
        <v>107</v>
      </c>
      <c r="F19">
        <v>613806</v>
      </c>
      <c r="G19">
        <f>INDEX(mort_table[],MATCH(Policyholder_Data__2[[#This Row],[Age]],mort_table[Age],0),2)</f>
        <v>1E-4</v>
      </c>
      <c r="H19">
        <f>Policyholder_Data__2[[#This Row],[Face Amount]]*G19*((1+int_rate)^-1)</f>
        <v>59.019807692307687</v>
      </c>
      <c r="I19">
        <f>IF(Policyholder_Data__2[[#This Row],[Smoker Status]]="Smoker",H19*1.5,H19)</f>
        <v>59.019807692307687</v>
      </c>
      <c r="J19">
        <f t="shared" si="0"/>
        <v>65.577564102564097</v>
      </c>
    </row>
    <row r="20" spans="2:10" x14ac:dyDescent="0.25">
      <c r="B20" t="s">
        <v>19</v>
      </c>
      <c r="C20">
        <v>20</v>
      </c>
      <c r="D20" t="s">
        <v>105</v>
      </c>
      <c r="E20" t="s">
        <v>107</v>
      </c>
      <c r="F20">
        <v>292082</v>
      </c>
      <c r="G20">
        <f>INDEX(mort_table[],MATCH(Policyholder_Data__2[[#This Row],[Age]],mort_table[Age],0),2)</f>
        <v>1E-4</v>
      </c>
      <c r="H20">
        <f>Policyholder_Data__2[[#This Row],[Face Amount]]*G20*((1+int_rate)^-1)</f>
        <v>28.084807692307692</v>
      </c>
      <c r="I20">
        <f>IF(Policyholder_Data__2[[#This Row],[Smoker Status]]="Smoker",H20*1.5,H20)</f>
        <v>28.084807692307692</v>
      </c>
      <c r="J20">
        <f t="shared" si="0"/>
        <v>31.20534188034188</v>
      </c>
    </row>
    <row r="21" spans="2:10" x14ac:dyDescent="0.25">
      <c r="B21" t="s">
        <v>20</v>
      </c>
      <c r="C21">
        <v>25</v>
      </c>
      <c r="D21" t="s">
        <v>106</v>
      </c>
      <c r="E21" t="s">
        <v>107</v>
      </c>
      <c r="F21">
        <v>816539</v>
      </c>
      <c r="G21">
        <f>INDEX(mort_table[],MATCH(Policyholder_Data__2[[#This Row],[Age]],mort_table[Age],0),2)</f>
        <v>1.0900000000000001E-4</v>
      </c>
      <c r="H21">
        <f>Policyholder_Data__2[[#This Row],[Face Amount]]*G21*((1+int_rate)^-1)</f>
        <v>85.579568269230762</v>
      </c>
      <c r="I21">
        <f>IF(Policyholder_Data__2[[#This Row],[Smoker Status]]="Smoker",H21*1.5,H21)</f>
        <v>85.579568269230762</v>
      </c>
      <c r="J21">
        <f t="shared" si="0"/>
        <v>95.088409188034177</v>
      </c>
    </row>
    <row r="22" spans="2:10" x14ac:dyDescent="0.25">
      <c r="B22" t="s">
        <v>21</v>
      </c>
      <c r="C22">
        <v>24</v>
      </c>
      <c r="D22" t="s">
        <v>106</v>
      </c>
      <c r="E22" t="s">
        <v>108</v>
      </c>
      <c r="F22">
        <v>708323</v>
      </c>
      <c r="G22">
        <f>INDEX(mort_table[],MATCH(Policyholder_Data__2[[#This Row],[Age]],mort_table[Age],0),2)</f>
        <v>1.06E-4</v>
      </c>
      <c r="H22">
        <f>Policyholder_Data__2[[#This Row],[Face Amount]]*G22*((1+int_rate)^-1)</f>
        <v>72.194459615384616</v>
      </c>
      <c r="I22">
        <f>IF(Policyholder_Data__2[[#This Row],[Smoker Status]]="Smoker",H22*1.5,H22)</f>
        <v>108.29168942307692</v>
      </c>
      <c r="J22">
        <f t="shared" si="0"/>
        <v>120.32409935897435</v>
      </c>
    </row>
    <row r="23" spans="2:10" x14ac:dyDescent="0.25">
      <c r="B23" t="s">
        <v>22</v>
      </c>
      <c r="C23">
        <v>23</v>
      </c>
      <c r="D23" t="s">
        <v>106</v>
      </c>
      <c r="E23" t="s">
        <v>107</v>
      </c>
      <c r="F23">
        <v>376348</v>
      </c>
      <c r="G23">
        <f>INDEX(mort_table[],MATCH(Policyholder_Data__2[[#This Row],[Age]],mort_table[Age],0),2)</f>
        <v>1.0400000000000001E-4</v>
      </c>
      <c r="H23">
        <f>Policyholder_Data__2[[#This Row],[Face Amount]]*G23*((1+int_rate)^-1)</f>
        <v>37.634800000000006</v>
      </c>
      <c r="I23">
        <f>IF(Policyholder_Data__2[[#This Row],[Smoker Status]]="Smoker",H23*1.5,H23)</f>
        <v>37.634800000000006</v>
      </c>
      <c r="J23">
        <f t="shared" si="0"/>
        <v>41.81644444444445</v>
      </c>
    </row>
    <row r="24" spans="2:10" x14ac:dyDescent="0.25">
      <c r="B24" t="s">
        <v>23</v>
      </c>
      <c r="C24">
        <v>32</v>
      </c>
      <c r="D24" t="s">
        <v>105</v>
      </c>
      <c r="E24" t="s">
        <v>107</v>
      </c>
      <c r="F24">
        <v>913426</v>
      </c>
      <c r="G24">
        <f>INDEX(mort_table[],MATCH(Policyholder_Data__2[[#This Row],[Age]],mort_table[Age],0),2)</f>
        <v>1.1399999999999999E-4</v>
      </c>
      <c r="H24">
        <f>Policyholder_Data__2[[#This Row],[Face Amount]]*G24*((1+int_rate)^-1)</f>
        <v>100.12554230769229</v>
      </c>
      <c r="I24">
        <f>IF(Policyholder_Data__2[[#This Row],[Smoker Status]]="Smoker",H24*1.5,H24)</f>
        <v>100.12554230769229</v>
      </c>
      <c r="J24">
        <f t="shared" si="0"/>
        <v>111.25060256410254</v>
      </c>
    </row>
    <row r="25" spans="2:10" x14ac:dyDescent="0.25">
      <c r="B25" t="s">
        <v>24</v>
      </c>
      <c r="C25">
        <v>34</v>
      </c>
      <c r="D25" t="s">
        <v>105</v>
      </c>
      <c r="E25" t="s">
        <v>107</v>
      </c>
      <c r="F25">
        <v>616795</v>
      </c>
      <c r="G25">
        <f>INDEX(mort_table[],MATCH(Policyholder_Data__2[[#This Row],[Age]],mort_table[Age],0),2)</f>
        <v>1.1899999999999999E-4</v>
      </c>
      <c r="H25">
        <f>Policyholder_Data__2[[#This Row],[Face Amount]]*G25*((1+int_rate)^-1)</f>
        <v>70.575581730769215</v>
      </c>
      <c r="I25">
        <f>IF(Policyholder_Data__2[[#This Row],[Smoker Status]]="Smoker",H25*1.5,H25)</f>
        <v>70.575581730769215</v>
      </c>
      <c r="J25">
        <f t="shared" si="0"/>
        <v>78.417313034188012</v>
      </c>
    </row>
    <row r="26" spans="2:10" x14ac:dyDescent="0.25">
      <c r="B26" t="s">
        <v>25</v>
      </c>
      <c r="C26">
        <v>38</v>
      </c>
      <c r="D26" t="s">
        <v>106</v>
      </c>
      <c r="E26" t="s">
        <v>107</v>
      </c>
      <c r="F26">
        <v>915754</v>
      </c>
      <c r="G26">
        <f>INDEX(mort_table[],MATCH(Policyholder_Data__2[[#This Row],[Age]],mort_table[Age],0),2)</f>
        <v>1.4899999999999999E-4</v>
      </c>
      <c r="H26">
        <f>Policyholder_Data__2[[#This Row],[Face Amount]]*G26*((1+int_rate)^-1)</f>
        <v>131.19937115384613</v>
      </c>
      <c r="I26">
        <f>IF(Policyholder_Data__2[[#This Row],[Smoker Status]]="Smoker",H26*1.5,H26)</f>
        <v>131.19937115384613</v>
      </c>
      <c r="J26">
        <f t="shared" si="0"/>
        <v>145.77707905982902</v>
      </c>
    </row>
    <row r="27" spans="2:10" x14ac:dyDescent="0.25">
      <c r="B27" t="s">
        <v>26</v>
      </c>
      <c r="C27">
        <v>21</v>
      </c>
      <c r="D27" t="s">
        <v>105</v>
      </c>
      <c r="E27" t="s">
        <v>107</v>
      </c>
      <c r="F27">
        <v>809352</v>
      </c>
      <c r="G27">
        <f>INDEX(mort_table[],MATCH(Policyholder_Data__2[[#This Row],[Age]],mort_table[Age],0),2)</f>
        <v>1.01E-4</v>
      </c>
      <c r="H27">
        <f>Policyholder_Data__2[[#This Row],[Face Amount]]*G27*((1+int_rate)^-1)</f>
        <v>78.600530769230758</v>
      </c>
      <c r="I27">
        <f>IF(Policyholder_Data__2[[#This Row],[Smoker Status]]="Smoker",H27*1.5,H27)</f>
        <v>78.600530769230758</v>
      </c>
      <c r="J27">
        <f t="shared" si="0"/>
        <v>87.333923076923057</v>
      </c>
    </row>
    <row r="28" spans="2:10" x14ac:dyDescent="0.25">
      <c r="B28" t="s">
        <v>27</v>
      </c>
      <c r="C28">
        <v>20</v>
      </c>
      <c r="D28" t="s">
        <v>106</v>
      </c>
      <c r="E28" t="s">
        <v>107</v>
      </c>
      <c r="F28">
        <v>916041</v>
      </c>
      <c r="G28">
        <f>INDEX(mort_table[],MATCH(Policyholder_Data__2[[#This Row],[Age]],mort_table[Age],0),2)</f>
        <v>1E-4</v>
      </c>
      <c r="H28">
        <f>Policyholder_Data__2[[#This Row],[Face Amount]]*G28*((1+int_rate)^-1)</f>
        <v>88.080865384615379</v>
      </c>
      <c r="I28">
        <f>IF(Policyholder_Data__2[[#This Row],[Smoker Status]]="Smoker",H28*1.5,H28)</f>
        <v>88.080865384615379</v>
      </c>
      <c r="J28">
        <f t="shared" si="0"/>
        <v>97.867628205128199</v>
      </c>
    </row>
    <row r="29" spans="2:10" x14ac:dyDescent="0.25">
      <c r="B29" t="s">
        <v>28</v>
      </c>
      <c r="C29">
        <v>33</v>
      </c>
      <c r="D29" t="s">
        <v>106</v>
      </c>
      <c r="E29" t="s">
        <v>107</v>
      </c>
      <c r="F29">
        <v>539848</v>
      </c>
      <c r="G29">
        <f>INDEX(mort_table[],MATCH(Policyholder_Data__2[[#This Row],[Age]],mort_table[Age],0),2)</f>
        <v>1.1599999999999999E-4</v>
      </c>
      <c r="H29">
        <f>Policyholder_Data__2[[#This Row],[Face Amount]]*G29*((1+int_rate)^-1)</f>
        <v>60.213815384615373</v>
      </c>
      <c r="I29">
        <f>IF(Policyholder_Data__2[[#This Row],[Smoker Status]]="Smoker",H29*1.5,H29)</f>
        <v>60.213815384615373</v>
      </c>
      <c r="J29">
        <f t="shared" si="0"/>
        <v>66.904239316239298</v>
      </c>
    </row>
    <row r="30" spans="2:10" x14ac:dyDescent="0.25">
      <c r="B30" t="s">
        <v>29</v>
      </c>
      <c r="C30">
        <v>24</v>
      </c>
      <c r="D30" t="s">
        <v>106</v>
      </c>
      <c r="E30" t="s">
        <v>108</v>
      </c>
      <c r="F30">
        <v>929438</v>
      </c>
      <c r="G30">
        <f>INDEX(mort_table[],MATCH(Policyholder_Data__2[[#This Row],[Age]],mort_table[Age],0),2)</f>
        <v>1.06E-4</v>
      </c>
      <c r="H30">
        <f>Policyholder_Data__2[[#This Row],[Face Amount]]*G30*((1+int_rate)^-1)</f>
        <v>94.731180769230761</v>
      </c>
      <c r="I30">
        <f>IF(Policyholder_Data__2[[#This Row],[Smoker Status]]="Smoker",H30*1.5,H30)</f>
        <v>142.09677115384613</v>
      </c>
      <c r="J30">
        <f t="shared" si="0"/>
        <v>157.88530128205124</v>
      </c>
    </row>
    <row r="31" spans="2:10" x14ac:dyDescent="0.25">
      <c r="B31" t="s">
        <v>30</v>
      </c>
      <c r="C31">
        <v>28</v>
      </c>
      <c r="D31" t="s">
        <v>105</v>
      </c>
      <c r="E31" t="s">
        <v>108</v>
      </c>
      <c r="F31">
        <v>335081</v>
      </c>
      <c r="G31">
        <f>INDEX(mort_table[],MATCH(Policyholder_Data__2[[#This Row],[Age]],mort_table[Age],0),2)</f>
        <v>1.1599999999999999E-4</v>
      </c>
      <c r="H31">
        <f>Policyholder_Data__2[[#This Row],[Face Amount]]*G31*((1+int_rate)^-1)</f>
        <v>37.37441923076922</v>
      </c>
      <c r="I31">
        <f>IF(Policyholder_Data__2[[#This Row],[Smoker Status]]="Smoker",H31*1.5,H31)</f>
        <v>56.06162884615383</v>
      </c>
      <c r="J31">
        <f t="shared" si="0"/>
        <v>62.2906987179487</v>
      </c>
    </row>
    <row r="32" spans="2:10" x14ac:dyDescent="0.25">
      <c r="B32" t="s">
        <v>31</v>
      </c>
      <c r="C32">
        <v>40</v>
      </c>
      <c r="D32" t="s">
        <v>105</v>
      </c>
      <c r="E32" t="s">
        <v>107</v>
      </c>
      <c r="F32">
        <v>271706</v>
      </c>
      <c r="G32">
        <f>INDEX(mort_table[],MATCH(Policyholder_Data__2[[#This Row],[Age]],mort_table[Age],0),2)</f>
        <v>1.7200000000000001E-4</v>
      </c>
      <c r="H32">
        <f>Policyholder_Data__2[[#This Row],[Face Amount]]*G32*((1+int_rate)^-1)</f>
        <v>44.935992307692302</v>
      </c>
      <c r="I32">
        <f>IF(Policyholder_Data__2[[#This Row],[Smoker Status]]="Smoker",H32*1.5,H32)</f>
        <v>44.935992307692302</v>
      </c>
      <c r="J32">
        <f t="shared" si="0"/>
        <v>49.928880341880337</v>
      </c>
    </row>
    <row r="33" spans="2:10" x14ac:dyDescent="0.25">
      <c r="B33" t="s">
        <v>32</v>
      </c>
      <c r="C33">
        <v>30</v>
      </c>
      <c r="D33" t="s">
        <v>106</v>
      </c>
      <c r="E33" t="s">
        <v>107</v>
      </c>
      <c r="F33">
        <v>307803</v>
      </c>
      <c r="G33">
        <f>INDEX(mort_table[],MATCH(Policyholder_Data__2[[#This Row],[Age]],mort_table[Age],0),2)</f>
        <v>1.1399999999999999E-4</v>
      </c>
      <c r="H33">
        <f>Policyholder_Data__2[[#This Row],[Face Amount]]*G33*((1+int_rate)^-1)</f>
        <v>33.739944230769225</v>
      </c>
      <c r="I33">
        <f>IF(Policyholder_Data__2[[#This Row],[Smoker Status]]="Smoker",H33*1.5,H33)</f>
        <v>33.739944230769225</v>
      </c>
      <c r="J33">
        <f t="shared" si="0"/>
        <v>37.488826923076914</v>
      </c>
    </row>
    <row r="34" spans="2:10" x14ac:dyDescent="0.25">
      <c r="B34" t="s">
        <v>33</v>
      </c>
      <c r="C34">
        <v>24</v>
      </c>
      <c r="D34" t="s">
        <v>105</v>
      </c>
      <c r="E34" t="s">
        <v>107</v>
      </c>
      <c r="F34">
        <v>494320</v>
      </c>
      <c r="G34">
        <f>INDEX(mort_table[],MATCH(Policyholder_Data__2[[#This Row],[Age]],mort_table[Age],0),2)</f>
        <v>1.06E-4</v>
      </c>
      <c r="H34">
        <f>Policyholder_Data__2[[#This Row],[Face Amount]]*G34*((1+int_rate)^-1)</f>
        <v>50.382615384615377</v>
      </c>
      <c r="I34">
        <f>IF(Policyholder_Data__2[[#This Row],[Smoker Status]]="Smoker",H34*1.5,H34)</f>
        <v>50.382615384615377</v>
      </c>
      <c r="J34">
        <f t="shared" si="0"/>
        <v>55.980683760683753</v>
      </c>
    </row>
    <row r="35" spans="2:10" x14ac:dyDescent="0.25">
      <c r="B35" t="s">
        <v>34</v>
      </c>
      <c r="C35">
        <v>21</v>
      </c>
      <c r="D35" t="s">
        <v>106</v>
      </c>
      <c r="E35" t="s">
        <v>107</v>
      </c>
      <c r="F35">
        <v>263324</v>
      </c>
      <c r="G35">
        <f>INDEX(mort_table[],MATCH(Policyholder_Data__2[[#This Row],[Age]],mort_table[Age],0),2)</f>
        <v>1.01E-4</v>
      </c>
      <c r="H35">
        <f>Policyholder_Data__2[[#This Row],[Face Amount]]*G35*((1+int_rate)^-1)</f>
        <v>25.572811538461536</v>
      </c>
      <c r="I35">
        <f>IF(Policyholder_Data__2[[#This Row],[Smoker Status]]="Smoker",H35*1.5,H35)</f>
        <v>25.572811538461536</v>
      </c>
      <c r="J35">
        <f t="shared" si="0"/>
        <v>28.41423504273504</v>
      </c>
    </row>
    <row r="36" spans="2:10" x14ac:dyDescent="0.25">
      <c r="B36" t="s">
        <v>35</v>
      </c>
      <c r="C36">
        <v>40</v>
      </c>
      <c r="D36" t="s">
        <v>106</v>
      </c>
      <c r="E36" t="s">
        <v>107</v>
      </c>
      <c r="F36">
        <v>822817</v>
      </c>
      <c r="G36">
        <f>INDEX(mort_table[],MATCH(Policyholder_Data__2[[#This Row],[Age]],mort_table[Age],0),2)</f>
        <v>1.7200000000000001E-4</v>
      </c>
      <c r="H36">
        <f>Policyholder_Data__2[[#This Row],[Face Amount]]*G36*((1+int_rate)^-1)</f>
        <v>136.08127307692308</v>
      </c>
      <c r="I36">
        <f>IF(Policyholder_Data__2[[#This Row],[Smoker Status]]="Smoker",H36*1.5,H36)</f>
        <v>136.08127307692308</v>
      </c>
      <c r="J36">
        <f t="shared" si="0"/>
        <v>151.20141452991453</v>
      </c>
    </row>
    <row r="37" spans="2:10" x14ac:dyDescent="0.25">
      <c r="B37" t="s">
        <v>36</v>
      </c>
      <c r="C37">
        <v>40</v>
      </c>
      <c r="D37" t="s">
        <v>106</v>
      </c>
      <c r="E37" t="s">
        <v>108</v>
      </c>
      <c r="F37">
        <v>390131</v>
      </c>
      <c r="G37">
        <f>INDEX(mort_table[],MATCH(Policyholder_Data__2[[#This Row],[Age]],mort_table[Age],0),2)</f>
        <v>1.7200000000000001E-4</v>
      </c>
      <c r="H37">
        <f>Policyholder_Data__2[[#This Row],[Face Amount]]*G37*((1+int_rate)^-1)</f>
        <v>64.521665384615375</v>
      </c>
      <c r="I37">
        <f>IF(Policyholder_Data__2[[#This Row],[Smoker Status]]="Smoker",H37*1.5,H37)</f>
        <v>96.782498076923062</v>
      </c>
      <c r="J37">
        <f t="shared" si="0"/>
        <v>107.53610897435895</v>
      </c>
    </row>
    <row r="38" spans="2:10" x14ac:dyDescent="0.25">
      <c r="B38" t="s">
        <v>37</v>
      </c>
      <c r="C38">
        <v>30</v>
      </c>
      <c r="D38" t="s">
        <v>105</v>
      </c>
      <c r="E38" t="s">
        <v>107</v>
      </c>
      <c r="F38">
        <v>809494</v>
      </c>
      <c r="G38">
        <f>INDEX(mort_table[],MATCH(Policyholder_Data__2[[#This Row],[Age]],mort_table[Age],0),2)</f>
        <v>1.1399999999999999E-4</v>
      </c>
      <c r="H38">
        <f>Policyholder_Data__2[[#This Row],[Face Amount]]*G38*((1+int_rate)^-1)</f>
        <v>88.732996153846145</v>
      </c>
      <c r="I38">
        <f>IF(Policyholder_Data__2[[#This Row],[Smoker Status]]="Smoker",H38*1.5,H38)</f>
        <v>88.732996153846145</v>
      </c>
      <c r="J38">
        <f t="shared" ref="J38:J69" si="1">I38/(1-expense_load)</f>
        <v>98.592217948717931</v>
      </c>
    </row>
    <row r="39" spans="2:10" x14ac:dyDescent="0.25">
      <c r="B39" t="s">
        <v>38</v>
      </c>
      <c r="C39">
        <v>32</v>
      </c>
      <c r="D39" t="s">
        <v>105</v>
      </c>
      <c r="E39" t="s">
        <v>107</v>
      </c>
      <c r="F39">
        <v>411599</v>
      </c>
      <c r="G39">
        <f>INDEX(mort_table[],MATCH(Policyholder_Data__2[[#This Row],[Age]],mort_table[Age],0),2)</f>
        <v>1.1399999999999999E-4</v>
      </c>
      <c r="H39">
        <f>Policyholder_Data__2[[#This Row],[Face Amount]]*G39*((1+int_rate)^-1)</f>
        <v>45.117582692307685</v>
      </c>
      <c r="I39">
        <f>IF(Policyholder_Data__2[[#This Row],[Smoker Status]]="Smoker",H39*1.5,H39)</f>
        <v>45.117582692307685</v>
      </c>
      <c r="J39">
        <f t="shared" si="1"/>
        <v>50.13064743589743</v>
      </c>
    </row>
    <row r="40" spans="2:10" x14ac:dyDescent="0.25">
      <c r="B40" t="s">
        <v>39</v>
      </c>
      <c r="C40">
        <v>28</v>
      </c>
      <c r="D40" t="s">
        <v>106</v>
      </c>
      <c r="E40" t="s">
        <v>107</v>
      </c>
      <c r="F40">
        <v>305088</v>
      </c>
      <c r="G40">
        <f>INDEX(mort_table[],MATCH(Policyholder_Data__2[[#This Row],[Age]],mort_table[Age],0),2)</f>
        <v>1.1599999999999999E-4</v>
      </c>
      <c r="H40">
        <f>Policyholder_Data__2[[#This Row],[Face Amount]]*G40*((1+int_rate)^-1)</f>
        <v>34.029046153846146</v>
      </c>
      <c r="I40">
        <f>IF(Policyholder_Data__2[[#This Row],[Smoker Status]]="Smoker",H40*1.5,H40)</f>
        <v>34.029046153846146</v>
      </c>
      <c r="J40">
        <f t="shared" si="1"/>
        <v>37.810051282051269</v>
      </c>
    </row>
    <row r="41" spans="2:10" x14ac:dyDescent="0.25">
      <c r="B41" t="s">
        <v>40</v>
      </c>
      <c r="C41">
        <v>39</v>
      </c>
      <c r="D41" t="s">
        <v>105</v>
      </c>
      <c r="E41" t="s">
        <v>107</v>
      </c>
      <c r="F41">
        <v>384713</v>
      </c>
      <c r="G41">
        <f>INDEX(mort_table[],MATCH(Policyholder_Data__2[[#This Row],[Age]],mort_table[Age],0),2)</f>
        <v>1.5900000000000002E-4</v>
      </c>
      <c r="H41">
        <f>Policyholder_Data__2[[#This Row],[Face Amount]]*G41*((1+int_rate)^-1)</f>
        <v>58.816699038461543</v>
      </c>
      <c r="I41">
        <f>IF(Policyholder_Data__2[[#This Row],[Smoker Status]]="Smoker",H41*1.5,H41)</f>
        <v>58.816699038461543</v>
      </c>
      <c r="J41">
        <f t="shared" si="1"/>
        <v>65.351887820512829</v>
      </c>
    </row>
    <row r="42" spans="2:10" x14ac:dyDescent="0.25">
      <c r="B42" t="s">
        <v>41</v>
      </c>
      <c r="C42">
        <v>24</v>
      </c>
      <c r="D42" t="s">
        <v>106</v>
      </c>
      <c r="E42" t="s">
        <v>107</v>
      </c>
      <c r="F42">
        <v>362477</v>
      </c>
      <c r="G42">
        <f>INDEX(mort_table[],MATCH(Policyholder_Data__2[[#This Row],[Age]],mort_table[Age],0),2)</f>
        <v>1.06E-4</v>
      </c>
      <c r="H42">
        <f>Policyholder_Data__2[[#This Row],[Face Amount]]*G42*((1+int_rate)^-1)</f>
        <v>36.944771153846148</v>
      </c>
      <c r="I42">
        <f>IF(Policyholder_Data__2[[#This Row],[Smoker Status]]="Smoker",H42*1.5,H42)</f>
        <v>36.944771153846148</v>
      </c>
      <c r="J42">
        <f t="shared" si="1"/>
        <v>41.049745726495722</v>
      </c>
    </row>
    <row r="43" spans="2:10" x14ac:dyDescent="0.25">
      <c r="B43" t="s">
        <v>42</v>
      </c>
      <c r="C43">
        <v>28</v>
      </c>
      <c r="D43" t="s">
        <v>106</v>
      </c>
      <c r="E43" t="s">
        <v>107</v>
      </c>
      <c r="F43">
        <v>385952</v>
      </c>
      <c r="G43">
        <f>INDEX(mort_table[],MATCH(Policyholder_Data__2[[#This Row],[Age]],mort_table[Age],0),2)</f>
        <v>1.1599999999999999E-4</v>
      </c>
      <c r="H43">
        <f>Policyholder_Data__2[[#This Row],[Face Amount]]*G43*((1+int_rate)^-1)</f>
        <v>43.0484923076923</v>
      </c>
      <c r="I43">
        <f>IF(Policyholder_Data__2[[#This Row],[Smoker Status]]="Smoker",H43*1.5,H43)</f>
        <v>43.0484923076923</v>
      </c>
      <c r="J43">
        <f t="shared" si="1"/>
        <v>47.831658119658108</v>
      </c>
    </row>
    <row r="44" spans="2:10" x14ac:dyDescent="0.25">
      <c r="B44" t="s">
        <v>43</v>
      </c>
      <c r="C44">
        <v>21</v>
      </c>
      <c r="D44" t="s">
        <v>106</v>
      </c>
      <c r="E44" t="s">
        <v>107</v>
      </c>
      <c r="F44">
        <v>290227</v>
      </c>
      <c r="G44">
        <f>INDEX(mort_table[],MATCH(Policyholder_Data__2[[#This Row],[Age]],mort_table[Age],0),2)</f>
        <v>1.01E-4</v>
      </c>
      <c r="H44">
        <f>Policyholder_Data__2[[#This Row],[Face Amount]]*G44*((1+int_rate)^-1)</f>
        <v>28.18550673076923</v>
      </c>
      <c r="I44">
        <f>IF(Policyholder_Data__2[[#This Row],[Smoker Status]]="Smoker",H44*1.5,H44)</f>
        <v>28.18550673076923</v>
      </c>
      <c r="J44">
        <f t="shared" si="1"/>
        <v>31.3172297008547</v>
      </c>
    </row>
    <row r="45" spans="2:10" x14ac:dyDescent="0.25">
      <c r="B45" t="s">
        <v>44</v>
      </c>
      <c r="C45">
        <v>30</v>
      </c>
      <c r="D45" t="s">
        <v>105</v>
      </c>
      <c r="E45" t="s">
        <v>108</v>
      </c>
      <c r="F45">
        <v>983536</v>
      </c>
      <c r="G45">
        <f>INDEX(mort_table[],MATCH(Policyholder_Data__2[[#This Row],[Age]],mort_table[Age],0),2)</f>
        <v>1.1399999999999999E-4</v>
      </c>
      <c r="H45">
        <f>Policyholder_Data__2[[#This Row],[Face Amount]]*G45*((1+int_rate)^-1)</f>
        <v>107.81067692307691</v>
      </c>
      <c r="I45">
        <f>IF(Policyholder_Data__2[[#This Row],[Smoker Status]]="Smoker",H45*1.5,H45)</f>
        <v>161.71601538461536</v>
      </c>
      <c r="J45">
        <f t="shared" si="1"/>
        <v>179.68446153846151</v>
      </c>
    </row>
    <row r="46" spans="2:10" x14ac:dyDescent="0.25">
      <c r="B46" t="s">
        <v>45</v>
      </c>
      <c r="C46">
        <v>36</v>
      </c>
      <c r="D46" t="s">
        <v>105</v>
      </c>
      <c r="E46" t="s">
        <v>108</v>
      </c>
      <c r="F46">
        <v>395684</v>
      </c>
      <c r="G46">
        <f>INDEX(mort_table[],MATCH(Policyholder_Data__2[[#This Row],[Age]],mort_table[Age],0),2)</f>
        <v>1.3100000000000001E-4</v>
      </c>
      <c r="H46">
        <f>Policyholder_Data__2[[#This Row],[Face Amount]]*G46*((1+int_rate)^-1)</f>
        <v>49.840965384615387</v>
      </c>
      <c r="I46">
        <f>IF(Policyholder_Data__2[[#This Row],[Smoker Status]]="Smoker",H46*1.5,H46)</f>
        <v>74.761448076923074</v>
      </c>
      <c r="J46">
        <f t="shared" si="1"/>
        <v>83.068275641025636</v>
      </c>
    </row>
    <row r="47" spans="2:10" x14ac:dyDescent="0.25">
      <c r="B47" t="s">
        <v>46</v>
      </c>
      <c r="C47">
        <v>40</v>
      </c>
      <c r="D47" t="s">
        <v>106</v>
      </c>
      <c r="E47" t="s">
        <v>107</v>
      </c>
      <c r="F47">
        <v>641496</v>
      </c>
      <c r="G47">
        <f>INDEX(mort_table[],MATCH(Policyholder_Data__2[[#This Row],[Age]],mort_table[Age],0),2)</f>
        <v>1.7200000000000001E-4</v>
      </c>
      <c r="H47">
        <f>Policyholder_Data__2[[#This Row],[Face Amount]]*G47*((1+int_rate)^-1)</f>
        <v>106.09356923076922</v>
      </c>
      <c r="I47">
        <f>IF(Policyholder_Data__2[[#This Row],[Smoker Status]]="Smoker",H47*1.5,H47)</f>
        <v>106.09356923076922</v>
      </c>
      <c r="J47">
        <f t="shared" si="1"/>
        <v>117.88174358974358</v>
      </c>
    </row>
    <row r="48" spans="2:10" x14ac:dyDescent="0.25">
      <c r="B48" t="s">
        <v>47</v>
      </c>
      <c r="C48">
        <v>40</v>
      </c>
      <c r="D48" t="s">
        <v>105</v>
      </c>
      <c r="E48" t="s">
        <v>107</v>
      </c>
      <c r="F48">
        <v>680902</v>
      </c>
      <c r="G48">
        <f>INDEX(mort_table[],MATCH(Policyholder_Data__2[[#This Row],[Age]],mort_table[Age],0),2)</f>
        <v>1.7200000000000001E-4</v>
      </c>
      <c r="H48">
        <f>Policyholder_Data__2[[#This Row],[Face Amount]]*G48*((1+int_rate)^-1)</f>
        <v>112.61071538461538</v>
      </c>
      <c r="I48">
        <f>IF(Policyholder_Data__2[[#This Row],[Smoker Status]]="Smoker",H48*1.5,H48)</f>
        <v>112.61071538461538</v>
      </c>
      <c r="J48">
        <f t="shared" si="1"/>
        <v>125.12301709401709</v>
      </c>
    </row>
    <row r="49" spans="2:10" x14ac:dyDescent="0.25">
      <c r="B49" t="s">
        <v>48</v>
      </c>
      <c r="C49">
        <v>35</v>
      </c>
      <c r="D49" t="s">
        <v>106</v>
      </c>
      <c r="E49" t="s">
        <v>107</v>
      </c>
      <c r="F49">
        <v>891574</v>
      </c>
      <c r="G49">
        <f>INDEX(mort_table[],MATCH(Policyholder_Data__2[[#This Row],[Age]],mort_table[Age],0),2)</f>
        <v>1.2400000000000001E-4</v>
      </c>
      <c r="H49">
        <f>Policyholder_Data__2[[#This Row],[Face Amount]]*G49*((1+int_rate)^-1)</f>
        <v>106.30305384615384</v>
      </c>
      <c r="I49">
        <f>IF(Policyholder_Data__2[[#This Row],[Smoker Status]]="Smoker",H49*1.5,H49)</f>
        <v>106.30305384615384</v>
      </c>
      <c r="J49">
        <f t="shared" si="1"/>
        <v>118.11450427350427</v>
      </c>
    </row>
    <row r="50" spans="2:10" x14ac:dyDescent="0.25">
      <c r="B50" t="s">
        <v>49</v>
      </c>
      <c r="C50">
        <v>22</v>
      </c>
      <c r="D50" t="s">
        <v>106</v>
      </c>
      <c r="E50" t="s">
        <v>107</v>
      </c>
      <c r="F50">
        <v>770892</v>
      </c>
      <c r="G50">
        <f>INDEX(mort_table[],MATCH(Policyholder_Data__2[[#This Row],[Age]],mort_table[Age],0),2)</f>
        <v>1.02E-4</v>
      </c>
      <c r="H50">
        <f>Policyholder_Data__2[[#This Row],[Face Amount]]*G50*((1+int_rate)^-1)</f>
        <v>75.60671538461537</v>
      </c>
      <c r="I50">
        <f>IF(Policyholder_Data__2[[#This Row],[Smoker Status]]="Smoker",H50*1.5,H50)</f>
        <v>75.60671538461537</v>
      </c>
      <c r="J50">
        <f t="shared" si="1"/>
        <v>84.007461538461527</v>
      </c>
    </row>
    <row r="51" spans="2:10" x14ac:dyDescent="0.25">
      <c r="B51" t="s">
        <v>50</v>
      </c>
      <c r="C51">
        <v>20</v>
      </c>
      <c r="D51" t="s">
        <v>106</v>
      </c>
      <c r="E51" t="s">
        <v>107</v>
      </c>
      <c r="F51">
        <v>765993</v>
      </c>
      <c r="G51">
        <f>INDEX(mort_table[],MATCH(Policyholder_Data__2[[#This Row],[Age]],mort_table[Age],0),2)</f>
        <v>1E-4</v>
      </c>
      <c r="H51">
        <f>Policyholder_Data__2[[#This Row],[Face Amount]]*G51*((1+int_rate)^-1)</f>
        <v>73.653173076923068</v>
      </c>
      <c r="I51">
        <f>IF(Policyholder_Data__2[[#This Row],[Smoker Status]]="Smoker",H51*1.5,H51)</f>
        <v>73.653173076923068</v>
      </c>
      <c r="J51">
        <f t="shared" si="1"/>
        <v>81.836858974358961</v>
      </c>
    </row>
    <row r="52" spans="2:10" x14ac:dyDescent="0.25">
      <c r="B52" t="s">
        <v>51</v>
      </c>
      <c r="C52">
        <v>28</v>
      </c>
      <c r="D52" t="s">
        <v>105</v>
      </c>
      <c r="E52" t="s">
        <v>108</v>
      </c>
      <c r="F52">
        <v>937375</v>
      </c>
      <c r="G52">
        <f>INDEX(mort_table[],MATCH(Policyholder_Data__2[[#This Row],[Age]],mort_table[Age],0),2)</f>
        <v>1.1599999999999999E-4</v>
      </c>
      <c r="H52">
        <f>Policyholder_Data__2[[#This Row],[Face Amount]]*G52*((1+int_rate)^-1)</f>
        <v>104.55336538461536</v>
      </c>
      <c r="I52">
        <f>IF(Policyholder_Data__2[[#This Row],[Smoker Status]]="Smoker",H52*1.5,H52)</f>
        <v>156.83004807692305</v>
      </c>
      <c r="J52">
        <f t="shared" si="1"/>
        <v>174.25560897435895</v>
      </c>
    </row>
    <row r="53" spans="2:10" x14ac:dyDescent="0.25">
      <c r="B53" t="s">
        <v>52</v>
      </c>
      <c r="C53">
        <v>33</v>
      </c>
      <c r="D53" t="s">
        <v>105</v>
      </c>
      <c r="E53" t="s">
        <v>107</v>
      </c>
      <c r="F53">
        <v>982491</v>
      </c>
      <c r="G53">
        <f>INDEX(mort_table[],MATCH(Policyholder_Data__2[[#This Row],[Age]],mort_table[Age],0),2)</f>
        <v>1.1599999999999999E-4</v>
      </c>
      <c r="H53">
        <f>Policyholder_Data__2[[#This Row],[Face Amount]]*G53*((1+int_rate)^-1)</f>
        <v>109.5855346153846</v>
      </c>
      <c r="I53">
        <f>IF(Policyholder_Data__2[[#This Row],[Smoker Status]]="Smoker",H53*1.5,H53)</f>
        <v>109.5855346153846</v>
      </c>
      <c r="J53">
        <f t="shared" si="1"/>
        <v>121.76170512820511</v>
      </c>
    </row>
    <row r="54" spans="2:10" x14ac:dyDescent="0.25">
      <c r="B54" t="s">
        <v>53</v>
      </c>
      <c r="C54">
        <v>20</v>
      </c>
      <c r="D54" t="s">
        <v>106</v>
      </c>
      <c r="E54" t="s">
        <v>107</v>
      </c>
      <c r="F54">
        <v>467892</v>
      </c>
      <c r="G54">
        <f>INDEX(mort_table[],MATCH(Policyholder_Data__2[[#This Row],[Age]],mort_table[Age],0),2)</f>
        <v>1E-4</v>
      </c>
      <c r="H54">
        <f>Policyholder_Data__2[[#This Row],[Face Amount]]*G54*((1+int_rate)^-1)</f>
        <v>44.989615384615384</v>
      </c>
      <c r="I54">
        <f>IF(Policyholder_Data__2[[#This Row],[Smoker Status]]="Smoker",H54*1.5,H54)</f>
        <v>44.989615384615384</v>
      </c>
      <c r="J54">
        <f t="shared" si="1"/>
        <v>49.988461538461536</v>
      </c>
    </row>
    <row r="55" spans="2:10" x14ac:dyDescent="0.25">
      <c r="B55" t="s">
        <v>54</v>
      </c>
      <c r="C55">
        <v>21</v>
      </c>
      <c r="D55" t="s">
        <v>105</v>
      </c>
      <c r="E55" t="s">
        <v>107</v>
      </c>
      <c r="F55">
        <v>816099</v>
      </c>
      <c r="G55">
        <f>INDEX(mort_table[],MATCH(Policyholder_Data__2[[#This Row],[Age]],mort_table[Age],0),2)</f>
        <v>1.01E-4</v>
      </c>
      <c r="H55">
        <f>Policyholder_Data__2[[#This Row],[Face Amount]]*G55*((1+int_rate)^-1)</f>
        <v>79.255768269230771</v>
      </c>
      <c r="I55">
        <f>IF(Policyholder_Data__2[[#This Row],[Smoker Status]]="Smoker",H55*1.5,H55)</f>
        <v>79.255768269230771</v>
      </c>
      <c r="J55">
        <f t="shared" si="1"/>
        <v>88.061964743589741</v>
      </c>
    </row>
    <row r="56" spans="2:10" x14ac:dyDescent="0.25">
      <c r="B56" t="s">
        <v>55</v>
      </c>
      <c r="C56">
        <v>25</v>
      </c>
      <c r="D56" t="s">
        <v>106</v>
      </c>
      <c r="E56" t="s">
        <v>107</v>
      </c>
      <c r="F56">
        <v>654222</v>
      </c>
      <c r="G56">
        <f>INDEX(mort_table[],MATCH(Policyholder_Data__2[[#This Row],[Age]],mort_table[Age],0),2)</f>
        <v>1.0900000000000001E-4</v>
      </c>
      <c r="H56">
        <f>Policyholder_Data__2[[#This Row],[Face Amount]]*G56*((1+int_rate)^-1)</f>
        <v>68.567498076923073</v>
      </c>
      <c r="I56">
        <f>IF(Policyholder_Data__2[[#This Row],[Smoker Status]]="Smoker",H56*1.5,H56)</f>
        <v>68.567498076923073</v>
      </c>
      <c r="J56">
        <f t="shared" si="1"/>
        <v>76.186108974358973</v>
      </c>
    </row>
    <row r="57" spans="2:10" x14ac:dyDescent="0.25">
      <c r="B57" t="s">
        <v>56</v>
      </c>
      <c r="C57">
        <v>38</v>
      </c>
      <c r="D57" t="s">
        <v>106</v>
      </c>
      <c r="E57" t="s">
        <v>107</v>
      </c>
      <c r="F57">
        <v>635113</v>
      </c>
      <c r="G57">
        <f>INDEX(mort_table[],MATCH(Policyholder_Data__2[[#This Row],[Age]],mort_table[Age],0),2)</f>
        <v>1.4899999999999999E-4</v>
      </c>
      <c r="H57">
        <f>Policyholder_Data__2[[#This Row],[Face Amount]]*G57*((1+int_rate)^-1)</f>
        <v>90.992150961538442</v>
      </c>
      <c r="I57">
        <f>IF(Policyholder_Data__2[[#This Row],[Smoker Status]]="Smoker",H57*1.5,H57)</f>
        <v>90.992150961538442</v>
      </c>
      <c r="J57">
        <f t="shared" si="1"/>
        <v>101.10238995726493</v>
      </c>
    </row>
    <row r="58" spans="2:10" x14ac:dyDescent="0.25">
      <c r="B58" t="s">
        <v>57</v>
      </c>
      <c r="C58">
        <v>29</v>
      </c>
      <c r="D58" t="s">
        <v>106</v>
      </c>
      <c r="E58" t="s">
        <v>107</v>
      </c>
      <c r="F58">
        <v>596962</v>
      </c>
      <c r="G58">
        <f>INDEX(mort_table[],MATCH(Policyholder_Data__2[[#This Row],[Age]],mort_table[Age],0),2)</f>
        <v>1.1499999999999999E-4</v>
      </c>
      <c r="H58">
        <f>Policyholder_Data__2[[#This Row],[Face Amount]]*G58*((1+int_rate)^-1)</f>
        <v>66.010221153846146</v>
      </c>
      <c r="I58">
        <f>IF(Policyholder_Data__2[[#This Row],[Smoker Status]]="Smoker",H58*1.5,H58)</f>
        <v>66.010221153846146</v>
      </c>
      <c r="J58">
        <f t="shared" si="1"/>
        <v>73.344690170940154</v>
      </c>
    </row>
    <row r="59" spans="2:10" x14ac:dyDescent="0.25">
      <c r="B59" t="s">
        <v>58</v>
      </c>
      <c r="C59">
        <v>38</v>
      </c>
      <c r="D59" t="s">
        <v>105</v>
      </c>
      <c r="E59" t="s">
        <v>107</v>
      </c>
      <c r="F59">
        <v>463856</v>
      </c>
      <c r="G59">
        <f>INDEX(mort_table[],MATCH(Policyholder_Data__2[[#This Row],[Age]],mort_table[Age],0),2)</f>
        <v>1.4899999999999999E-4</v>
      </c>
      <c r="H59">
        <f>Policyholder_Data__2[[#This Row],[Face Amount]]*G59*((1+int_rate)^-1)</f>
        <v>66.456292307692294</v>
      </c>
      <c r="I59">
        <f>IF(Policyholder_Data__2[[#This Row],[Smoker Status]]="Smoker",H59*1.5,H59)</f>
        <v>66.456292307692294</v>
      </c>
      <c r="J59">
        <f t="shared" si="1"/>
        <v>73.840324786324771</v>
      </c>
    </row>
    <row r="60" spans="2:10" x14ac:dyDescent="0.25">
      <c r="B60" t="s">
        <v>59</v>
      </c>
      <c r="C60">
        <v>22</v>
      </c>
      <c r="D60" t="s">
        <v>105</v>
      </c>
      <c r="E60" t="s">
        <v>108</v>
      </c>
      <c r="F60">
        <v>614519</v>
      </c>
      <c r="G60">
        <f>INDEX(mort_table[],MATCH(Policyholder_Data__2[[#This Row],[Age]],mort_table[Age],0),2)</f>
        <v>1.02E-4</v>
      </c>
      <c r="H60">
        <f>Policyholder_Data__2[[#This Row],[Face Amount]]*G60*((1+int_rate)^-1)</f>
        <v>60.270132692307683</v>
      </c>
      <c r="I60">
        <f>IF(Policyholder_Data__2[[#This Row],[Smoker Status]]="Smoker",H60*1.5,H60)</f>
        <v>90.405199038461518</v>
      </c>
      <c r="J60">
        <f t="shared" si="1"/>
        <v>100.45022115384613</v>
      </c>
    </row>
    <row r="61" spans="2:10" x14ac:dyDescent="0.25">
      <c r="B61" t="s">
        <v>60</v>
      </c>
      <c r="C61">
        <v>36</v>
      </c>
      <c r="D61" t="s">
        <v>106</v>
      </c>
      <c r="E61" t="s">
        <v>108</v>
      </c>
      <c r="F61">
        <v>954206</v>
      </c>
      <c r="G61">
        <f>INDEX(mort_table[],MATCH(Policyholder_Data__2[[#This Row],[Age]],mort_table[Age],0),2)</f>
        <v>1.3100000000000001E-4</v>
      </c>
      <c r="H61">
        <f>Policyholder_Data__2[[#This Row],[Face Amount]]*G61*((1+int_rate)^-1)</f>
        <v>120.19325576923077</v>
      </c>
      <c r="I61">
        <f>IF(Policyholder_Data__2[[#This Row],[Smoker Status]]="Smoker",H61*1.5,H61)</f>
        <v>180.28988365384618</v>
      </c>
      <c r="J61">
        <f t="shared" si="1"/>
        <v>200.32209294871797</v>
      </c>
    </row>
    <row r="62" spans="2:10" x14ac:dyDescent="0.25">
      <c r="B62" t="s">
        <v>61</v>
      </c>
      <c r="C62">
        <v>34</v>
      </c>
      <c r="D62" t="s">
        <v>105</v>
      </c>
      <c r="E62" t="s">
        <v>107</v>
      </c>
      <c r="F62">
        <v>897195</v>
      </c>
      <c r="G62">
        <f>INDEX(mort_table[],MATCH(Policyholder_Data__2[[#This Row],[Age]],mort_table[Age],0),2)</f>
        <v>1.1899999999999999E-4</v>
      </c>
      <c r="H62">
        <f>Policyholder_Data__2[[#This Row],[Face Amount]]*G62*((1+int_rate)^-1)</f>
        <v>102.65981249999999</v>
      </c>
      <c r="I62">
        <f>IF(Policyholder_Data__2[[#This Row],[Smoker Status]]="Smoker",H62*1.5,H62)</f>
        <v>102.65981249999999</v>
      </c>
      <c r="J62">
        <f t="shared" si="1"/>
        <v>114.06645833333332</v>
      </c>
    </row>
    <row r="63" spans="2:10" x14ac:dyDescent="0.25">
      <c r="B63" t="s">
        <v>62</v>
      </c>
      <c r="C63">
        <v>30</v>
      </c>
      <c r="D63" t="s">
        <v>106</v>
      </c>
      <c r="E63" t="s">
        <v>107</v>
      </c>
      <c r="F63">
        <v>409714</v>
      </c>
      <c r="G63">
        <f>INDEX(mort_table[],MATCH(Policyholder_Data__2[[#This Row],[Age]],mort_table[Age],0),2)</f>
        <v>1.1399999999999999E-4</v>
      </c>
      <c r="H63">
        <f>Policyholder_Data__2[[#This Row],[Face Amount]]*G63*((1+int_rate)^-1)</f>
        <v>44.910957692307683</v>
      </c>
      <c r="I63">
        <f>IF(Policyholder_Data__2[[#This Row],[Smoker Status]]="Smoker",H63*1.5,H63)</f>
        <v>44.910957692307683</v>
      </c>
      <c r="J63">
        <f t="shared" si="1"/>
        <v>49.901064102564092</v>
      </c>
    </row>
    <row r="64" spans="2:10" x14ac:dyDescent="0.25">
      <c r="B64" t="s">
        <v>63</v>
      </c>
      <c r="C64">
        <v>33</v>
      </c>
      <c r="D64" t="s">
        <v>106</v>
      </c>
      <c r="E64" t="s">
        <v>107</v>
      </c>
      <c r="F64">
        <v>954214</v>
      </c>
      <c r="G64">
        <f>INDEX(mort_table[],MATCH(Policyholder_Data__2[[#This Row],[Age]],mort_table[Age],0),2)</f>
        <v>1.1599999999999999E-4</v>
      </c>
      <c r="H64">
        <f>Policyholder_Data__2[[#This Row],[Face Amount]]*G64*((1+int_rate)^-1)</f>
        <v>106.43156153846151</v>
      </c>
      <c r="I64">
        <f>IF(Policyholder_Data__2[[#This Row],[Smoker Status]]="Smoker",H64*1.5,H64)</f>
        <v>106.43156153846151</v>
      </c>
      <c r="J64">
        <f t="shared" si="1"/>
        <v>118.25729059829057</v>
      </c>
    </row>
    <row r="65" spans="2:10" x14ac:dyDescent="0.25">
      <c r="B65" t="s">
        <v>64</v>
      </c>
      <c r="C65">
        <v>36</v>
      </c>
      <c r="D65" t="s">
        <v>106</v>
      </c>
      <c r="E65" t="s">
        <v>107</v>
      </c>
      <c r="F65">
        <v>852408</v>
      </c>
      <c r="G65">
        <f>INDEX(mort_table[],MATCH(Policyholder_Data__2[[#This Row],[Age]],mort_table[Age],0),2)</f>
        <v>1.3100000000000001E-4</v>
      </c>
      <c r="H65">
        <f>Policyholder_Data__2[[#This Row],[Face Amount]]*G65*((1+int_rate)^-1)</f>
        <v>107.37062307692308</v>
      </c>
      <c r="I65">
        <f>IF(Policyholder_Data__2[[#This Row],[Smoker Status]]="Smoker",H65*1.5,H65)</f>
        <v>107.37062307692308</v>
      </c>
      <c r="J65">
        <f t="shared" si="1"/>
        <v>119.30069230769232</v>
      </c>
    </row>
    <row r="66" spans="2:10" x14ac:dyDescent="0.25">
      <c r="B66" t="s">
        <v>65</v>
      </c>
      <c r="C66">
        <v>28</v>
      </c>
      <c r="D66" t="s">
        <v>105</v>
      </c>
      <c r="E66" t="s">
        <v>107</v>
      </c>
      <c r="F66">
        <v>672963</v>
      </c>
      <c r="G66">
        <f>INDEX(mort_table[],MATCH(Policyholder_Data__2[[#This Row],[Age]],mort_table[Age],0),2)</f>
        <v>1.1599999999999999E-4</v>
      </c>
      <c r="H66">
        <f>Policyholder_Data__2[[#This Row],[Face Amount]]*G66*((1+int_rate)^-1)</f>
        <v>75.061257692307677</v>
      </c>
      <c r="I66">
        <f>IF(Policyholder_Data__2[[#This Row],[Smoker Status]]="Smoker",H66*1.5,H66)</f>
        <v>75.061257692307677</v>
      </c>
      <c r="J66">
        <f t="shared" si="1"/>
        <v>83.401397435897422</v>
      </c>
    </row>
    <row r="67" spans="2:10" x14ac:dyDescent="0.25">
      <c r="B67" t="s">
        <v>66</v>
      </c>
      <c r="C67">
        <v>33</v>
      </c>
      <c r="D67" t="s">
        <v>105</v>
      </c>
      <c r="E67" t="s">
        <v>108</v>
      </c>
      <c r="F67">
        <v>382266</v>
      </c>
      <c r="G67">
        <f>INDEX(mort_table[],MATCH(Policyholder_Data__2[[#This Row],[Age]],mort_table[Age],0),2)</f>
        <v>1.1599999999999999E-4</v>
      </c>
      <c r="H67">
        <f>Policyholder_Data__2[[#This Row],[Face Amount]]*G67*((1+int_rate)^-1)</f>
        <v>42.637361538461533</v>
      </c>
      <c r="I67">
        <f>IF(Policyholder_Data__2[[#This Row],[Smoker Status]]="Smoker",H67*1.5,H67)</f>
        <v>63.9560423076923</v>
      </c>
      <c r="J67">
        <f t="shared" si="1"/>
        <v>71.062269230769218</v>
      </c>
    </row>
    <row r="68" spans="2:10" x14ac:dyDescent="0.25">
      <c r="B68" t="s">
        <v>67</v>
      </c>
      <c r="C68">
        <v>20</v>
      </c>
      <c r="D68" t="s">
        <v>106</v>
      </c>
      <c r="E68" t="s">
        <v>107</v>
      </c>
      <c r="F68">
        <v>319763</v>
      </c>
      <c r="G68">
        <f>INDEX(mort_table[],MATCH(Policyholder_Data__2[[#This Row],[Age]],mort_table[Age],0),2)</f>
        <v>1E-4</v>
      </c>
      <c r="H68">
        <f>Policyholder_Data__2[[#This Row],[Face Amount]]*G68*((1+int_rate)^-1)</f>
        <v>30.746442307692305</v>
      </c>
      <c r="I68">
        <f>IF(Policyholder_Data__2[[#This Row],[Smoker Status]]="Smoker",H68*1.5,H68)</f>
        <v>30.746442307692305</v>
      </c>
      <c r="J68">
        <f t="shared" si="1"/>
        <v>34.162713675213674</v>
      </c>
    </row>
    <row r="69" spans="2:10" x14ac:dyDescent="0.25">
      <c r="B69" t="s">
        <v>68</v>
      </c>
      <c r="C69">
        <v>26</v>
      </c>
      <c r="D69" t="s">
        <v>105</v>
      </c>
      <c r="E69" t="s">
        <v>107</v>
      </c>
      <c r="F69">
        <v>251930</v>
      </c>
      <c r="G69">
        <f>INDEX(mort_table[],MATCH(Policyholder_Data__2[[#This Row],[Age]],mort_table[Age],0),2)</f>
        <v>1.1399999999999999E-4</v>
      </c>
      <c r="H69">
        <f>Policyholder_Data__2[[#This Row],[Face Amount]]*G69*((1+int_rate)^-1)</f>
        <v>27.615403846153843</v>
      </c>
      <c r="I69">
        <f>IF(Policyholder_Data__2[[#This Row],[Smoker Status]]="Smoker",H69*1.5,H69)</f>
        <v>27.615403846153843</v>
      </c>
      <c r="J69">
        <f t="shared" si="1"/>
        <v>30.683782051282048</v>
      </c>
    </row>
    <row r="70" spans="2:10" x14ac:dyDescent="0.25">
      <c r="B70" t="s">
        <v>69</v>
      </c>
      <c r="C70">
        <v>20</v>
      </c>
      <c r="D70" t="s">
        <v>106</v>
      </c>
      <c r="E70" t="s">
        <v>107</v>
      </c>
      <c r="F70">
        <v>631239</v>
      </c>
      <c r="G70">
        <f>INDEX(mort_table[],MATCH(Policyholder_Data__2[[#This Row],[Age]],mort_table[Age],0),2)</f>
        <v>1E-4</v>
      </c>
      <c r="H70">
        <f>Policyholder_Data__2[[#This Row],[Face Amount]]*G70*((1+int_rate)^-1)</f>
        <v>60.69605769230769</v>
      </c>
      <c r="I70">
        <f>IF(Policyholder_Data__2[[#This Row],[Smoker Status]]="Smoker",H70*1.5,H70)</f>
        <v>60.69605769230769</v>
      </c>
      <c r="J70">
        <f t="shared" ref="J70:J101" si="2">I70/(1-expense_load)</f>
        <v>67.440064102564094</v>
      </c>
    </row>
    <row r="71" spans="2:10" x14ac:dyDescent="0.25">
      <c r="B71" t="s">
        <v>70</v>
      </c>
      <c r="C71">
        <v>21</v>
      </c>
      <c r="D71" t="s">
        <v>106</v>
      </c>
      <c r="E71" t="s">
        <v>107</v>
      </c>
      <c r="F71">
        <v>972160</v>
      </c>
      <c r="G71">
        <f>INDEX(mort_table[],MATCH(Policyholder_Data__2[[#This Row],[Age]],mort_table[Age],0),2)</f>
        <v>1.01E-4</v>
      </c>
      <c r="H71">
        <f>Policyholder_Data__2[[#This Row],[Face Amount]]*G71*((1+int_rate)^-1)</f>
        <v>94.411692307692292</v>
      </c>
      <c r="I71">
        <f>IF(Policyholder_Data__2[[#This Row],[Smoker Status]]="Smoker",H71*1.5,H71)</f>
        <v>94.411692307692292</v>
      </c>
      <c r="J71">
        <f t="shared" si="2"/>
        <v>104.90188034188031</v>
      </c>
    </row>
    <row r="72" spans="2:10" x14ac:dyDescent="0.25">
      <c r="B72" t="s">
        <v>71</v>
      </c>
      <c r="C72">
        <v>27</v>
      </c>
      <c r="D72" t="s">
        <v>106</v>
      </c>
      <c r="E72" t="s">
        <v>107</v>
      </c>
      <c r="F72">
        <v>356256</v>
      </c>
      <c r="G72">
        <f>INDEX(mort_table[],MATCH(Policyholder_Data__2[[#This Row],[Age]],mort_table[Age],0),2)</f>
        <v>1.17E-4</v>
      </c>
      <c r="H72">
        <f>Policyholder_Data__2[[#This Row],[Face Amount]]*G72*((1+int_rate)^-1)</f>
        <v>40.078800000000001</v>
      </c>
      <c r="I72">
        <f>IF(Policyholder_Data__2[[#This Row],[Smoker Status]]="Smoker",H72*1.5,H72)</f>
        <v>40.078800000000001</v>
      </c>
      <c r="J72">
        <f t="shared" si="2"/>
        <v>44.532000000000004</v>
      </c>
    </row>
    <row r="73" spans="2:10" x14ac:dyDescent="0.25">
      <c r="B73" t="s">
        <v>72</v>
      </c>
      <c r="C73">
        <v>22</v>
      </c>
      <c r="D73" t="s">
        <v>105</v>
      </c>
      <c r="E73" t="s">
        <v>107</v>
      </c>
      <c r="F73">
        <v>277247</v>
      </c>
      <c r="G73">
        <f>INDEX(mort_table[],MATCH(Policyholder_Data__2[[#This Row],[Age]],mort_table[Age],0),2)</f>
        <v>1.02E-4</v>
      </c>
      <c r="H73">
        <f>Policyholder_Data__2[[#This Row],[Face Amount]]*G73*((1+int_rate)^-1)</f>
        <v>27.191532692307689</v>
      </c>
      <c r="I73">
        <f>IF(Policyholder_Data__2[[#This Row],[Smoker Status]]="Smoker",H73*1.5,H73)</f>
        <v>27.191532692307689</v>
      </c>
      <c r="J73">
        <f t="shared" si="2"/>
        <v>30.212814102564099</v>
      </c>
    </row>
    <row r="74" spans="2:10" x14ac:dyDescent="0.25">
      <c r="B74" t="s">
        <v>73</v>
      </c>
      <c r="C74">
        <v>30</v>
      </c>
      <c r="D74" t="s">
        <v>105</v>
      </c>
      <c r="E74" t="s">
        <v>107</v>
      </c>
      <c r="F74">
        <v>407907</v>
      </c>
      <c r="G74">
        <f>INDEX(mort_table[],MATCH(Policyholder_Data__2[[#This Row],[Age]],mort_table[Age],0),2)</f>
        <v>1.1399999999999999E-4</v>
      </c>
      <c r="H74">
        <f>Policyholder_Data__2[[#This Row],[Face Amount]]*G74*((1+int_rate)^-1)</f>
        <v>44.71288269230768</v>
      </c>
      <c r="I74">
        <f>IF(Policyholder_Data__2[[#This Row],[Smoker Status]]="Smoker",H74*1.5,H74)</f>
        <v>44.71288269230768</v>
      </c>
      <c r="J74">
        <f t="shared" si="2"/>
        <v>49.680980769230757</v>
      </c>
    </row>
    <row r="75" spans="2:10" x14ac:dyDescent="0.25">
      <c r="B75" t="s">
        <v>74</v>
      </c>
      <c r="C75">
        <v>22</v>
      </c>
      <c r="D75" t="s">
        <v>106</v>
      </c>
      <c r="E75" t="s">
        <v>108</v>
      </c>
      <c r="F75">
        <v>649781</v>
      </c>
      <c r="G75">
        <f>INDEX(mort_table[],MATCH(Policyholder_Data__2[[#This Row],[Age]],mort_table[Age],0),2)</f>
        <v>1.02E-4</v>
      </c>
      <c r="H75">
        <f>Policyholder_Data__2[[#This Row],[Face Amount]]*G75*((1+int_rate)^-1)</f>
        <v>63.728521153846152</v>
      </c>
      <c r="I75">
        <f>IF(Policyholder_Data__2[[#This Row],[Smoker Status]]="Smoker",H75*1.5,H75)</f>
        <v>95.592781730769232</v>
      </c>
      <c r="J75">
        <f t="shared" si="2"/>
        <v>106.21420192307693</v>
      </c>
    </row>
    <row r="76" spans="2:10" x14ac:dyDescent="0.25">
      <c r="B76" t="s">
        <v>75</v>
      </c>
      <c r="C76">
        <v>22</v>
      </c>
      <c r="D76" t="s">
        <v>105</v>
      </c>
      <c r="E76" t="s">
        <v>108</v>
      </c>
      <c r="F76">
        <v>690276</v>
      </c>
      <c r="G76">
        <f>INDEX(mort_table[],MATCH(Policyholder_Data__2[[#This Row],[Age]],mort_table[Age],0),2)</f>
        <v>1.02E-4</v>
      </c>
      <c r="H76">
        <f>Policyholder_Data__2[[#This Row],[Face Amount]]*G76*((1+int_rate)^-1)</f>
        <v>67.700146153846148</v>
      </c>
      <c r="I76">
        <f>IF(Policyholder_Data__2[[#This Row],[Smoker Status]]="Smoker",H76*1.5,H76)</f>
        <v>101.55021923076922</v>
      </c>
      <c r="J76">
        <f t="shared" si="2"/>
        <v>112.8335769230769</v>
      </c>
    </row>
    <row r="77" spans="2:10" x14ac:dyDescent="0.25">
      <c r="B77" t="s">
        <v>76</v>
      </c>
      <c r="C77">
        <v>39</v>
      </c>
      <c r="D77" t="s">
        <v>106</v>
      </c>
      <c r="E77" t="s">
        <v>107</v>
      </c>
      <c r="F77">
        <v>885500</v>
      </c>
      <c r="G77">
        <f>INDEX(mort_table[],MATCH(Policyholder_Data__2[[#This Row],[Age]],mort_table[Age],0),2)</f>
        <v>1.5900000000000002E-4</v>
      </c>
      <c r="H77">
        <f>Policyholder_Data__2[[#This Row],[Face Amount]]*G77*((1+int_rate)^-1)</f>
        <v>135.37932692307695</v>
      </c>
      <c r="I77">
        <f>IF(Policyholder_Data__2[[#This Row],[Smoker Status]]="Smoker",H77*1.5,H77)</f>
        <v>135.37932692307695</v>
      </c>
      <c r="J77">
        <f t="shared" si="2"/>
        <v>150.42147435897439</v>
      </c>
    </row>
    <row r="78" spans="2:10" x14ac:dyDescent="0.25">
      <c r="B78" t="s">
        <v>77</v>
      </c>
      <c r="C78">
        <v>23</v>
      </c>
      <c r="D78" t="s">
        <v>106</v>
      </c>
      <c r="E78" t="s">
        <v>107</v>
      </c>
      <c r="F78">
        <v>596372</v>
      </c>
      <c r="G78">
        <f>INDEX(mort_table[],MATCH(Policyholder_Data__2[[#This Row],[Age]],mort_table[Age],0),2)</f>
        <v>1.0400000000000001E-4</v>
      </c>
      <c r="H78">
        <f>Policyholder_Data__2[[#This Row],[Face Amount]]*G78*((1+int_rate)^-1)</f>
        <v>59.6372</v>
      </c>
      <c r="I78">
        <f>IF(Policyholder_Data__2[[#This Row],[Smoker Status]]="Smoker",H78*1.5,H78)</f>
        <v>59.6372</v>
      </c>
      <c r="J78">
        <f t="shared" si="2"/>
        <v>66.263555555555556</v>
      </c>
    </row>
    <row r="79" spans="2:10" x14ac:dyDescent="0.25">
      <c r="B79" t="s">
        <v>78</v>
      </c>
      <c r="C79">
        <v>38</v>
      </c>
      <c r="D79" t="s">
        <v>106</v>
      </c>
      <c r="E79" t="s">
        <v>107</v>
      </c>
      <c r="F79">
        <v>319960</v>
      </c>
      <c r="G79">
        <f>INDEX(mort_table[],MATCH(Policyholder_Data__2[[#This Row],[Age]],mort_table[Age],0),2)</f>
        <v>1.4899999999999999E-4</v>
      </c>
      <c r="H79">
        <f>Policyholder_Data__2[[#This Row],[Face Amount]]*G79*((1+int_rate)^-1)</f>
        <v>45.840423076923074</v>
      </c>
      <c r="I79">
        <f>IF(Policyholder_Data__2[[#This Row],[Smoker Status]]="Smoker",H79*1.5,H79)</f>
        <v>45.840423076923074</v>
      </c>
      <c r="J79">
        <f t="shared" si="2"/>
        <v>50.933803418803414</v>
      </c>
    </row>
    <row r="80" spans="2:10" x14ac:dyDescent="0.25">
      <c r="B80" t="s">
        <v>79</v>
      </c>
      <c r="C80">
        <v>25</v>
      </c>
      <c r="D80" t="s">
        <v>105</v>
      </c>
      <c r="E80" t="s">
        <v>107</v>
      </c>
      <c r="F80">
        <v>400032</v>
      </c>
      <c r="G80">
        <f>INDEX(mort_table[],MATCH(Policyholder_Data__2[[#This Row],[Age]],mort_table[Age],0),2)</f>
        <v>1.0900000000000001E-4</v>
      </c>
      <c r="H80">
        <f>Policyholder_Data__2[[#This Row],[Face Amount]]*G80*((1+int_rate)^-1)</f>
        <v>41.92643076923077</v>
      </c>
      <c r="I80">
        <f>IF(Policyholder_Data__2[[#This Row],[Smoker Status]]="Smoker",H80*1.5,H80)</f>
        <v>41.92643076923077</v>
      </c>
      <c r="J80">
        <f t="shared" si="2"/>
        <v>46.584923076923076</v>
      </c>
    </row>
    <row r="81" spans="2:10" x14ac:dyDescent="0.25">
      <c r="B81" t="s">
        <v>80</v>
      </c>
      <c r="C81">
        <v>28</v>
      </c>
      <c r="D81" t="s">
        <v>105</v>
      </c>
      <c r="E81" t="s">
        <v>107</v>
      </c>
      <c r="F81">
        <v>505504</v>
      </c>
      <c r="G81">
        <f>INDEX(mort_table[],MATCH(Policyholder_Data__2[[#This Row],[Age]],mort_table[Age],0),2)</f>
        <v>1.1599999999999999E-4</v>
      </c>
      <c r="H81">
        <f>Policyholder_Data__2[[#This Row],[Face Amount]]*G81*((1+int_rate)^-1)</f>
        <v>56.383138461538451</v>
      </c>
      <c r="I81">
        <f>IF(Policyholder_Data__2[[#This Row],[Smoker Status]]="Smoker",H81*1.5,H81)</f>
        <v>56.383138461538451</v>
      </c>
      <c r="J81">
        <f t="shared" si="2"/>
        <v>62.647931623931612</v>
      </c>
    </row>
    <row r="82" spans="2:10" x14ac:dyDescent="0.25">
      <c r="B82" t="s">
        <v>81</v>
      </c>
      <c r="C82">
        <v>26</v>
      </c>
      <c r="D82" t="s">
        <v>106</v>
      </c>
      <c r="E82" t="s">
        <v>108</v>
      </c>
      <c r="F82">
        <v>298959</v>
      </c>
      <c r="G82">
        <f>INDEX(mort_table[],MATCH(Policyholder_Data__2[[#This Row],[Age]],mort_table[Age],0),2)</f>
        <v>1.1399999999999999E-4</v>
      </c>
      <c r="H82">
        <f>Policyholder_Data__2[[#This Row],[Face Amount]]*G82*((1+int_rate)^-1)</f>
        <v>32.770505769230766</v>
      </c>
      <c r="I82">
        <f>IF(Policyholder_Data__2[[#This Row],[Smoker Status]]="Smoker",H82*1.5,H82)</f>
        <v>49.155758653846149</v>
      </c>
      <c r="J82">
        <f t="shared" si="2"/>
        <v>54.617509615384606</v>
      </c>
    </row>
    <row r="83" spans="2:10" x14ac:dyDescent="0.25">
      <c r="B83" t="s">
        <v>82</v>
      </c>
      <c r="C83">
        <v>39</v>
      </c>
      <c r="D83" t="s">
        <v>105</v>
      </c>
      <c r="E83" t="s">
        <v>107</v>
      </c>
      <c r="F83">
        <v>706125</v>
      </c>
      <c r="G83">
        <f>INDEX(mort_table[],MATCH(Policyholder_Data__2[[#This Row],[Age]],mort_table[Age],0),2)</f>
        <v>1.5900000000000002E-4</v>
      </c>
      <c r="H83">
        <f>Policyholder_Data__2[[#This Row],[Face Amount]]*G83*((1+int_rate)^-1)</f>
        <v>107.95564903846154</v>
      </c>
      <c r="I83">
        <f>IF(Policyholder_Data__2[[#This Row],[Smoker Status]]="Smoker",H83*1.5,H83)</f>
        <v>107.95564903846154</v>
      </c>
      <c r="J83">
        <f t="shared" si="2"/>
        <v>119.95072115384616</v>
      </c>
    </row>
    <row r="84" spans="2:10" x14ac:dyDescent="0.25">
      <c r="B84" t="s">
        <v>83</v>
      </c>
      <c r="C84">
        <v>37</v>
      </c>
      <c r="D84" t="s">
        <v>106</v>
      </c>
      <c r="E84" t="s">
        <v>107</v>
      </c>
      <c r="F84">
        <v>335977</v>
      </c>
      <c r="G84">
        <f>INDEX(mort_table[],MATCH(Policyholder_Data__2[[#This Row],[Age]],mort_table[Age],0),2)</f>
        <v>1.3899999999999999E-4</v>
      </c>
      <c r="H84">
        <f>Policyholder_Data__2[[#This Row],[Face Amount]]*G84*((1+int_rate)^-1)</f>
        <v>44.90461826923076</v>
      </c>
      <c r="I84">
        <f>IF(Policyholder_Data__2[[#This Row],[Smoker Status]]="Smoker",H84*1.5,H84)</f>
        <v>44.90461826923076</v>
      </c>
      <c r="J84">
        <f t="shared" si="2"/>
        <v>49.894020299145289</v>
      </c>
    </row>
    <row r="85" spans="2:10" x14ac:dyDescent="0.25">
      <c r="B85" t="s">
        <v>84</v>
      </c>
      <c r="C85">
        <v>36</v>
      </c>
      <c r="D85" t="s">
        <v>106</v>
      </c>
      <c r="E85" t="s">
        <v>107</v>
      </c>
      <c r="F85">
        <v>568767</v>
      </c>
      <c r="G85">
        <f>INDEX(mort_table[],MATCH(Policyholder_Data__2[[#This Row],[Age]],mort_table[Age],0),2)</f>
        <v>1.3100000000000001E-4</v>
      </c>
      <c r="H85">
        <f>Policyholder_Data__2[[#This Row],[Face Amount]]*G85*((1+int_rate)^-1)</f>
        <v>71.642766346153849</v>
      </c>
      <c r="I85">
        <f>IF(Policyholder_Data__2[[#This Row],[Smoker Status]]="Smoker",H85*1.5,H85)</f>
        <v>71.642766346153849</v>
      </c>
      <c r="J85">
        <f t="shared" si="2"/>
        <v>79.603073717948718</v>
      </c>
    </row>
    <row r="86" spans="2:10" x14ac:dyDescent="0.25">
      <c r="B86" t="s">
        <v>85</v>
      </c>
      <c r="C86">
        <v>30</v>
      </c>
      <c r="D86" t="s">
        <v>106</v>
      </c>
      <c r="E86" t="s">
        <v>107</v>
      </c>
      <c r="F86">
        <v>791969</v>
      </c>
      <c r="G86">
        <f>INDEX(mort_table[],MATCH(Policyholder_Data__2[[#This Row],[Age]],mort_table[Age],0),2)</f>
        <v>1.1399999999999999E-4</v>
      </c>
      <c r="H86">
        <f>Policyholder_Data__2[[#This Row],[Face Amount]]*G86*((1+int_rate)^-1)</f>
        <v>86.811986538461525</v>
      </c>
      <c r="I86">
        <f>IF(Policyholder_Data__2[[#This Row],[Smoker Status]]="Smoker",H86*1.5,H86)</f>
        <v>86.811986538461525</v>
      </c>
      <c r="J86">
        <f t="shared" si="2"/>
        <v>96.457762820512798</v>
      </c>
    </row>
    <row r="87" spans="2:10" x14ac:dyDescent="0.25">
      <c r="B87" t="s">
        <v>86</v>
      </c>
      <c r="C87">
        <v>27</v>
      </c>
      <c r="D87" t="s">
        <v>105</v>
      </c>
      <c r="E87" t="s">
        <v>107</v>
      </c>
      <c r="F87">
        <v>797355</v>
      </c>
      <c r="G87">
        <f>INDEX(mort_table[],MATCH(Policyholder_Data__2[[#This Row],[Age]],mort_table[Age],0),2)</f>
        <v>1.17E-4</v>
      </c>
      <c r="H87">
        <f>Policyholder_Data__2[[#This Row],[Face Amount]]*G87*((1+int_rate)^-1)</f>
        <v>89.702437499999988</v>
      </c>
      <c r="I87">
        <f>IF(Policyholder_Data__2[[#This Row],[Smoker Status]]="Smoker",H87*1.5,H87)</f>
        <v>89.702437499999988</v>
      </c>
      <c r="J87">
        <f t="shared" si="2"/>
        <v>99.669374999999988</v>
      </c>
    </row>
    <row r="88" spans="2:10" x14ac:dyDescent="0.25">
      <c r="B88" t="s">
        <v>87</v>
      </c>
      <c r="C88">
        <v>36</v>
      </c>
      <c r="D88" t="s">
        <v>105</v>
      </c>
      <c r="E88" t="s">
        <v>107</v>
      </c>
      <c r="F88">
        <v>321588</v>
      </c>
      <c r="G88">
        <f>INDEX(mort_table[],MATCH(Policyholder_Data__2[[#This Row],[Age]],mort_table[Age],0),2)</f>
        <v>1.3100000000000001E-4</v>
      </c>
      <c r="H88">
        <f>Policyholder_Data__2[[#This Row],[Face Amount]]*G88*((1+int_rate)^-1)</f>
        <v>40.507719230769233</v>
      </c>
      <c r="I88">
        <f>IF(Policyholder_Data__2[[#This Row],[Smoker Status]]="Smoker",H88*1.5,H88)</f>
        <v>40.507719230769233</v>
      </c>
      <c r="J88">
        <f t="shared" si="2"/>
        <v>45.008576923076923</v>
      </c>
    </row>
    <row r="89" spans="2:10" x14ac:dyDescent="0.25">
      <c r="B89" t="s">
        <v>88</v>
      </c>
      <c r="C89">
        <v>22</v>
      </c>
      <c r="D89" t="s">
        <v>106</v>
      </c>
      <c r="E89" t="s">
        <v>107</v>
      </c>
      <c r="F89">
        <v>892946</v>
      </c>
      <c r="G89">
        <f>INDEX(mort_table[],MATCH(Policyholder_Data__2[[#This Row],[Age]],mort_table[Age],0),2)</f>
        <v>1.02E-4</v>
      </c>
      <c r="H89">
        <f>Policyholder_Data__2[[#This Row],[Face Amount]]*G89*((1+int_rate)^-1)</f>
        <v>87.577396153846138</v>
      </c>
      <c r="I89">
        <f>IF(Policyholder_Data__2[[#This Row],[Smoker Status]]="Smoker",H89*1.5,H89)</f>
        <v>87.577396153846138</v>
      </c>
      <c r="J89">
        <f t="shared" si="2"/>
        <v>97.308217948717925</v>
      </c>
    </row>
    <row r="90" spans="2:10" x14ac:dyDescent="0.25">
      <c r="B90" t="s">
        <v>89</v>
      </c>
      <c r="C90">
        <v>24</v>
      </c>
      <c r="D90" t="s">
        <v>105</v>
      </c>
      <c r="E90" t="s">
        <v>108</v>
      </c>
      <c r="F90">
        <v>655453</v>
      </c>
      <c r="G90">
        <f>INDEX(mort_table[],MATCH(Policyholder_Data__2[[#This Row],[Age]],mort_table[Age],0),2)</f>
        <v>1.06E-4</v>
      </c>
      <c r="H90">
        <f>Policyholder_Data__2[[#This Row],[Face Amount]]*G90*((1+int_rate)^-1)</f>
        <v>66.805786538461533</v>
      </c>
      <c r="I90">
        <f>IF(Policyholder_Data__2[[#This Row],[Smoker Status]]="Smoker",H90*1.5,H90)</f>
        <v>100.20867980769231</v>
      </c>
      <c r="J90">
        <f t="shared" si="2"/>
        <v>111.34297756410255</v>
      </c>
    </row>
    <row r="91" spans="2:10" x14ac:dyDescent="0.25">
      <c r="B91" t="s">
        <v>90</v>
      </c>
      <c r="C91">
        <v>28</v>
      </c>
      <c r="D91" t="s">
        <v>106</v>
      </c>
      <c r="E91" t="s">
        <v>108</v>
      </c>
      <c r="F91">
        <v>976299</v>
      </c>
      <c r="G91">
        <f>INDEX(mort_table[],MATCH(Policyholder_Data__2[[#This Row],[Age]],mort_table[Age],0),2)</f>
        <v>1.1599999999999999E-4</v>
      </c>
      <c r="H91">
        <f>Policyholder_Data__2[[#This Row],[Face Amount]]*G91*((1+int_rate)^-1)</f>
        <v>108.89488846153844</v>
      </c>
      <c r="I91">
        <f>IF(Policyholder_Data__2[[#This Row],[Smoker Status]]="Smoker",H91*1.5,H91)</f>
        <v>163.34233269230765</v>
      </c>
      <c r="J91">
        <f t="shared" si="2"/>
        <v>181.49148076923072</v>
      </c>
    </row>
    <row r="92" spans="2:10" x14ac:dyDescent="0.25">
      <c r="B92" t="s">
        <v>91</v>
      </c>
      <c r="C92">
        <v>31</v>
      </c>
      <c r="D92" t="s">
        <v>106</v>
      </c>
      <c r="E92" t="s">
        <v>107</v>
      </c>
      <c r="F92">
        <v>842500</v>
      </c>
      <c r="G92">
        <f>INDEX(mort_table[],MATCH(Policyholder_Data__2[[#This Row],[Age]],mort_table[Age],0),2)</f>
        <v>1.13E-4</v>
      </c>
      <c r="H92">
        <f>Policyholder_Data__2[[#This Row],[Face Amount]]*G92*((1+int_rate)^-1)</f>
        <v>91.540865384615373</v>
      </c>
      <c r="I92">
        <f>IF(Policyholder_Data__2[[#This Row],[Smoker Status]]="Smoker",H92*1.5,H92)</f>
        <v>91.540865384615373</v>
      </c>
      <c r="J92">
        <f t="shared" si="2"/>
        <v>101.71207264957263</v>
      </c>
    </row>
    <row r="93" spans="2:10" x14ac:dyDescent="0.25">
      <c r="B93" t="s">
        <v>92</v>
      </c>
      <c r="C93">
        <v>29</v>
      </c>
      <c r="D93" t="s">
        <v>106</v>
      </c>
      <c r="E93" t="s">
        <v>107</v>
      </c>
      <c r="F93">
        <v>325409</v>
      </c>
      <c r="G93">
        <f>INDEX(mort_table[],MATCH(Policyholder_Data__2[[#This Row],[Age]],mort_table[Age],0),2)</f>
        <v>1.1499999999999999E-4</v>
      </c>
      <c r="H93">
        <f>Policyholder_Data__2[[#This Row],[Face Amount]]*G93*((1+int_rate)^-1)</f>
        <v>35.982725961538449</v>
      </c>
      <c r="I93">
        <f>IF(Policyholder_Data__2[[#This Row],[Smoker Status]]="Smoker",H93*1.5,H93)</f>
        <v>35.982725961538449</v>
      </c>
      <c r="J93">
        <f t="shared" si="2"/>
        <v>39.980806623931606</v>
      </c>
    </row>
    <row r="94" spans="2:10" x14ac:dyDescent="0.25">
      <c r="B94" t="s">
        <v>93</v>
      </c>
      <c r="C94">
        <v>31</v>
      </c>
      <c r="D94" t="s">
        <v>105</v>
      </c>
      <c r="E94" t="s">
        <v>107</v>
      </c>
      <c r="F94">
        <v>839283</v>
      </c>
      <c r="G94">
        <f>INDEX(mort_table[],MATCH(Policyholder_Data__2[[#This Row],[Age]],mort_table[Age],0),2)</f>
        <v>1.13E-4</v>
      </c>
      <c r="H94">
        <f>Policyholder_Data__2[[#This Row],[Face Amount]]*G94*((1+int_rate)^-1)</f>
        <v>91.191325961538453</v>
      </c>
      <c r="I94">
        <f>IF(Policyholder_Data__2[[#This Row],[Smoker Status]]="Smoker",H94*1.5,H94)</f>
        <v>91.191325961538453</v>
      </c>
      <c r="J94">
        <f t="shared" si="2"/>
        <v>101.32369551282051</v>
      </c>
    </row>
    <row r="95" spans="2:10" x14ac:dyDescent="0.25">
      <c r="B95" t="s">
        <v>94</v>
      </c>
      <c r="C95">
        <v>24</v>
      </c>
      <c r="D95" t="s">
        <v>105</v>
      </c>
      <c r="E95" t="s">
        <v>107</v>
      </c>
      <c r="F95">
        <v>915888</v>
      </c>
      <c r="G95">
        <f>INDEX(mort_table[],MATCH(Policyholder_Data__2[[#This Row],[Age]],mort_table[Age],0),2)</f>
        <v>1.06E-4</v>
      </c>
      <c r="H95">
        <f>Policyholder_Data__2[[#This Row],[Face Amount]]*G95*((1+int_rate)^-1)</f>
        <v>93.350123076923069</v>
      </c>
      <c r="I95">
        <f>IF(Policyholder_Data__2[[#This Row],[Smoker Status]]="Smoker",H95*1.5,H95)</f>
        <v>93.350123076923069</v>
      </c>
      <c r="J95">
        <f t="shared" si="2"/>
        <v>103.72235897435897</v>
      </c>
    </row>
    <row r="96" spans="2:10" x14ac:dyDescent="0.25">
      <c r="B96" t="s">
        <v>95</v>
      </c>
      <c r="C96">
        <v>36</v>
      </c>
      <c r="D96" t="s">
        <v>106</v>
      </c>
      <c r="E96" t="s">
        <v>107</v>
      </c>
      <c r="F96">
        <v>605999</v>
      </c>
      <c r="G96">
        <f>INDEX(mort_table[],MATCH(Policyholder_Data__2[[#This Row],[Age]],mort_table[Age],0),2)</f>
        <v>1.3100000000000001E-4</v>
      </c>
      <c r="H96">
        <f>Policyholder_Data__2[[#This Row],[Face Amount]]*G96*((1+int_rate)^-1)</f>
        <v>76.332566346153854</v>
      </c>
      <c r="I96">
        <f>IF(Policyholder_Data__2[[#This Row],[Smoker Status]]="Smoker",H96*1.5,H96)</f>
        <v>76.332566346153854</v>
      </c>
      <c r="J96">
        <f t="shared" si="2"/>
        <v>84.81396260683762</v>
      </c>
    </row>
    <row r="97" spans="2:10" x14ac:dyDescent="0.25">
      <c r="B97" t="s">
        <v>96</v>
      </c>
      <c r="C97">
        <v>27</v>
      </c>
      <c r="D97" t="s">
        <v>105</v>
      </c>
      <c r="E97" t="s">
        <v>108</v>
      </c>
      <c r="F97">
        <v>994764</v>
      </c>
      <c r="G97">
        <f>INDEX(mort_table[],MATCH(Policyholder_Data__2[[#This Row],[Age]],mort_table[Age],0),2)</f>
        <v>1.17E-4</v>
      </c>
      <c r="H97">
        <f>Policyholder_Data__2[[#This Row],[Face Amount]]*G97*((1+int_rate)^-1)</f>
        <v>111.91094999999999</v>
      </c>
      <c r="I97">
        <f>IF(Policyholder_Data__2[[#This Row],[Smoker Status]]="Smoker",H97*1.5,H97)</f>
        <v>167.86642499999999</v>
      </c>
      <c r="J97">
        <f t="shared" si="2"/>
        <v>186.51824999999999</v>
      </c>
    </row>
    <row r="98" spans="2:10" x14ac:dyDescent="0.25">
      <c r="B98" t="s">
        <v>97</v>
      </c>
      <c r="C98">
        <v>26</v>
      </c>
      <c r="D98" t="s">
        <v>106</v>
      </c>
      <c r="E98" t="s">
        <v>107</v>
      </c>
      <c r="F98">
        <v>915044</v>
      </c>
      <c r="G98">
        <f>INDEX(mort_table[],MATCH(Policyholder_Data__2[[#This Row],[Age]],mort_table[Age],0),2)</f>
        <v>1.1399999999999999E-4</v>
      </c>
      <c r="H98">
        <f>Policyholder_Data__2[[#This Row],[Face Amount]]*G98*((1+int_rate)^-1)</f>
        <v>100.30289999999999</v>
      </c>
      <c r="I98">
        <f>IF(Policyholder_Data__2[[#This Row],[Smoker Status]]="Smoker",H98*1.5,H98)</f>
        <v>100.30289999999999</v>
      </c>
      <c r="J98">
        <f t="shared" si="2"/>
        <v>111.44766666666666</v>
      </c>
    </row>
    <row r="99" spans="2:10" x14ac:dyDescent="0.25">
      <c r="B99" t="s">
        <v>98</v>
      </c>
      <c r="C99">
        <v>38</v>
      </c>
      <c r="D99" t="s">
        <v>106</v>
      </c>
      <c r="E99" t="s">
        <v>107</v>
      </c>
      <c r="F99">
        <v>700055</v>
      </c>
      <c r="G99">
        <f>INDEX(mort_table[],MATCH(Policyholder_Data__2[[#This Row],[Age]],mort_table[Age],0),2)</f>
        <v>1.4899999999999999E-4</v>
      </c>
      <c r="H99">
        <f>Policyholder_Data__2[[#This Row],[Face Amount]]*G99*((1+int_rate)^-1)</f>
        <v>100.29634134615384</v>
      </c>
      <c r="I99">
        <f>IF(Policyholder_Data__2[[#This Row],[Smoker Status]]="Smoker",H99*1.5,H99)</f>
        <v>100.29634134615384</v>
      </c>
      <c r="J99">
        <f t="shared" si="2"/>
        <v>111.44037927350426</v>
      </c>
    </row>
    <row r="100" spans="2:10" x14ac:dyDescent="0.25">
      <c r="B100" t="s">
        <v>99</v>
      </c>
      <c r="C100">
        <v>21</v>
      </c>
      <c r="D100" t="s">
        <v>106</v>
      </c>
      <c r="E100" t="s">
        <v>107</v>
      </c>
      <c r="F100">
        <v>523554</v>
      </c>
      <c r="G100">
        <f>INDEX(mort_table[],MATCH(Policyholder_Data__2[[#This Row],[Age]],mort_table[Age],0),2)</f>
        <v>1.01E-4</v>
      </c>
      <c r="H100">
        <f>Policyholder_Data__2[[#This Row],[Face Amount]]*G100*((1+int_rate)^-1)</f>
        <v>50.845148076923074</v>
      </c>
      <c r="I100">
        <f>IF(Policyholder_Data__2[[#This Row],[Smoker Status]]="Smoker",H100*1.5,H100)</f>
        <v>50.845148076923074</v>
      </c>
      <c r="J100">
        <f t="shared" si="2"/>
        <v>56.494608974358968</v>
      </c>
    </row>
    <row r="101" spans="2:10" x14ac:dyDescent="0.25">
      <c r="B101" t="s">
        <v>100</v>
      </c>
      <c r="C101">
        <v>25</v>
      </c>
      <c r="D101" t="s">
        <v>105</v>
      </c>
      <c r="E101" t="s">
        <v>107</v>
      </c>
      <c r="F101">
        <v>745174</v>
      </c>
      <c r="G101">
        <f>INDEX(mort_table[],MATCH(Policyholder_Data__2[[#This Row],[Age]],mort_table[Age],0),2)</f>
        <v>1.0900000000000001E-4</v>
      </c>
      <c r="H101">
        <f>Policyholder_Data__2[[#This Row],[Face Amount]]*G101*((1+int_rate)^-1)</f>
        <v>78.09996730769231</v>
      </c>
      <c r="I101">
        <f>IF(Policyholder_Data__2[[#This Row],[Smoker Status]]="Smoker",H101*1.5,H101)</f>
        <v>78.09996730769231</v>
      </c>
      <c r="J101">
        <f t="shared" si="2"/>
        <v>86.777741452991449</v>
      </c>
    </row>
    <row r="102" spans="2:10" x14ac:dyDescent="0.25">
      <c r="B102" t="s">
        <v>101</v>
      </c>
      <c r="C102">
        <v>26</v>
      </c>
      <c r="D102" t="s">
        <v>105</v>
      </c>
      <c r="E102" t="s">
        <v>107</v>
      </c>
      <c r="F102">
        <v>700284</v>
      </c>
      <c r="G102">
        <f>INDEX(mort_table[],MATCH(Policyholder_Data__2[[#This Row],[Age]],mort_table[Age],0),2)</f>
        <v>1.1399999999999999E-4</v>
      </c>
      <c r="H102">
        <f>Policyholder_Data__2[[#This Row],[Face Amount]]*G102*((1+int_rate)^-1)</f>
        <v>76.761899999999983</v>
      </c>
      <c r="I102">
        <f>IF(Policyholder_Data__2[[#This Row],[Smoker Status]]="Smoker",H102*1.5,H102)</f>
        <v>76.761899999999983</v>
      </c>
      <c r="J102">
        <f t="shared" ref="J102:J133" si="3">I102/(1-expense_load)</f>
        <v>85.290999999999983</v>
      </c>
    </row>
    <row r="103" spans="2:10" x14ac:dyDescent="0.25">
      <c r="B103" t="s">
        <v>102</v>
      </c>
      <c r="C103">
        <v>30</v>
      </c>
      <c r="D103" t="s">
        <v>106</v>
      </c>
      <c r="E103" t="s">
        <v>107</v>
      </c>
      <c r="F103">
        <v>990431</v>
      </c>
      <c r="G103">
        <f>INDEX(mort_table[],MATCH(Policyholder_Data__2[[#This Row],[Age]],mort_table[Age],0),2)</f>
        <v>1.1399999999999999E-4</v>
      </c>
      <c r="H103">
        <f>Policyholder_Data__2[[#This Row],[Face Amount]]*G103*((1+int_rate)^-1)</f>
        <v>108.56647499999998</v>
      </c>
      <c r="I103">
        <f>IF(Policyholder_Data__2[[#This Row],[Smoker Status]]="Smoker",H103*1.5,H103)</f>
        <v>108.56647499999998</v>
      </c>
      <c r="J103">
        <f t="shared" si="3"/>
        <v>120.62941666666664</v>
      </c>
    </row>
    <row r="104" spans="2:10" x14ac:dyDescent="0.25">
      <c r="B104" t="s">
        <v>103</v>
      </c>
      <c r="C104">
        <v>38</v>
      </c>
      <c r="D104" t="s">
        <v>105</v>
      </c>
      <c r="E104" t="s">
        <v>107</v>
      </c>
      <c r="F104">
        <v>254021</v>
      </c>
      <c r="G104">
        <f>INDEX(mort_table[],MATCH(Policyholder_Data__2[[#This Row],[Age]],mort_table[Age],0),2)</f>
        <v>1.4899999999999999E-4</v>
      </c>
      <c r="H104">
        <f>Policyholder_Data__2[[#This Row],[Face Amount]]*G104*((1+int_rate)^-1)</f>
        <v>36.393393269230764</v>
      </c>
      <c r="I104">
        <f>IF(Policyholder_Data__2[[#This Row],[Smoker Status]]="Smoker",H104*1.5,H104)</f>
        <v>36.393393269230764</v>
      </c>
      <c r="J104">
        <f t="shared" si="3"/>
        <v>40.437103632478625</v>
      </c>
    </row>
    <row r="105" spans="2:10" x14ac:dyDescent="0.25">
      <c r="B105" t="s">
        <v>104</v>
      </c>
      <c r="C105">
        <v>21</v>
      </c>
      <c r="D105" t="s">
        <v>106</v>
      </c>
      <c r="E105" t="s">
        <v>108</v>
      </c>
      <c r="F105">
        <v>409022</v>
      </c>
      <c r="G105">
        <f>INDEX(mort_table[],MATCH(Policyholder_Data__2[[#This Row],[Age]],mort_table[Age],0),2)</f>
        <v>1.01E-4</v>
      </c>
      <c r="H105">
        <f>Policyholder_Data__2[[#This Row],[Face Amount]]*G105*((1+int_rate)^-1)</f>
        <v>39.722328846153843</v>
      </c>
      <c r="I105">
        <f>IF(Policyholder_Data__2[[#This Row],[Smoker Status]]="Smoker",H105*1.5,H105)</f>
        <v>59.583493269230765</v>
      </c>
      <c r="J105">
        <f t="shared" si="3"/>
        <v>66.2038814102564</v>
      </c>
    </row>
  </sheetData>
  <sheetProtection algorithmName="SHA-512" hashValue="jEaKZ0XVHaIT+fxeWVfpDBG/USdRg1KtBKzZFrs751ERI1ctvvqBNy/t0D17E9DgN4QuJqIH4krdeOvilOd53Q==" saltValue="PQjjGmTmNcQhGCiNqA/dWg==" spinCount="100000" sheet="1" objects="1" scenarios="1"/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48231-F2ED-4A49-A33A-199D59FF01A6}">
  <dimension ref="A3:B6"/>
  <sheetViews>
    <sheetView workbookViewId="0">
      <selection activeCell="J11" sqref="J11"/>
    </sheetView>
  </sheetViews>
  <sheetFormatPr defaultRowHeight="15" x14ac:dyDescent="0.25"/>
  <cols>
    <col min="1" max="1" width="13.140625" bestFit="1" customWidth="1"/>
    <col min="2" max="2" width="25" bestFit="1" customWidth="1"/>
  </cols>
  <sheetData>
    <row r="3" spans="1:2" x14ac:dyDescent="0.25">
      <c r="A3" s="3" t="s">
        <v>119</v>
      </c>
      <c r="B3" t="s">
        <v>118</v>
      </c>
    </row>
    <row r="4" spans="1:2" x14ac:dyDescent="0.25">
      <c r="A4" s="4" t="s">
        <v>116</v>
      </c>
      <c r="B4">
        <v>82.148201165501163</v>
      </c>
    </row>
    <row r="5" spans="1:2" x14ac:dyDescent="0.25">
      <c r="A5" s="4" t="s">
        <v>117</v>
      </c>
      <c r="B5">
        <v>95.843966951566941</v>
      </c>
    </row>
    <row r="6" spans="1:2" x14ac:dyDescent="0.25">
      <c r="A6" s="4" t="s">
        <v>115</v>
      </c>
      <c r="B6">
        <v>88.311295769230767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8E975-F4B2-4150-A970-BDE13371F701}">
  <dimension ref="A3:B6"/>
  <sheetViews>
    <sheetView workbookViewId="0">
      <selection activeCell="B3" sqref="B3"/>
      <pivotSelection pane="bottomRight" showHeader="1" extendable="1" activeRow="2" activeCol="1" click="1" r:id="rId1">
        <pivotArea dataOnly="0" outline="0" axis="axisValues" fieldPosition="0"/>
      </pivotSelection>
    </sheetView>
  </sheetViews>
  <sheetFormatPr defaultRowHeight="15" x14ac:dyDescent="0.25"/>
  <cols>
    <col min="1" max="1" width="16" bestFit="1" customWidth="1"/>
    <col min="2" max="2" width="25" bestFit="1" customWidth="1"/>
  </cols>
  <sheetData>
    <row r="3" spans="1:2" x14ac:dyDescent="0.25">
      <c r="A3" s="3" t="s">
        <v>3</v>
      </c>
      <c r="B3" t="s">
        <v>118</v>
      </c>
    </row>
    <row r="4" spans="1:2" x14ac:dyDescent="0.25">
      <c r="A4" s="4" t="s">
        <v>107</v>
      </c>
      <c r="B4">
        <v>79.786932892628187</v>
      </c>
    </row>
    <row r="5" spans="1:2" x14ac:dyDescent="0.25">
      <c r="A5" s="4" t="s">
        <v>108</v>
      </c>
      <c r="B5">
        <v>122.40874727564101</v>
      </c>
    </row>
    <row r="6" spans="1:2" x14ac:dyDescent="0.25">
      <c r="A6" s="4" t="s">
        <v>115</v>
      </c>
      <c r="B6">
        <v>88.311295769230753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8239A-F9DC-4D16-B9D0-56E73D83FFC1}">
  <dimension ref="A1:I42"/>
  <sheetViews>
    <sheetView workbookViewId="0">
      <selection activeCell="I5" sqref="I5"/>
    </sheetView>
  </sheetViews>
  <sheetFormatPr defaultRowHeight="15" x14ac:dyDescent="0.25"/>
  <cols>
    <col min="1" max="1" width="10.85546875" bestFit="1" customWidth="1"/>
    <col min="2" max="2" width="6.7109375" bestFit="1" customWidth="1"/>
    <col min="3" max="3" width="10" bestFit="1" customWidth="1"/>
    <col min="4" max="4" width="16" bestFit="1" customWidth="1"/>
    <col min="5" max="5" width="14.85546875" bestFit="1" customWidth="1"/>
  </cols>
  <sheetData>
    <row r="1" spans="1:9" x14ac:dyDescent="0.25">
      <c r="A1" t="s">
        <v>124</v>
      </c>
    </row>
    <row r="5" spans="1:9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112</v>
      </c>
      <c r="G5" t="s">
        <v>121</v>
      </c>
      <c r="H5" t="s">
        <v>113</v>
      </c>
      <c r="I5" t="s">
        <v>114</v>
      </c>
    </row>
    <row r="6" spans="1:9" x14ac:dyDescent="0.25">
      <c r="A6" s="7" t="s">
        <v>5</v>
      </c>
      <c r="B6">
        <v>28</v>
      </c>
      <c r="C6" s="7" t="s">
        <v>105</v>
      </c>
      <c r="D6" s="7" t="s">
        <v>107</v>
      </c>
      <c r="E6">
        <v>919270</v>
      </c>
      <c r="F6">
        <f>INDEX(mort_table[],MATCH(High_Risk_Policies[[#This Row],[Age]],mort_table[Age],0),2)</f>
        <v>1.1599999999999999E-4</v>
      </c>
      <c r="G6">
        <f>Premium_Data6[[#This Row],[Mortality]]*High_Risk_Policies[[#This Row],[Face Amount]]*((1+int_rate)^-1)</f>
        <v>102.53396153846153</v>
      </c>
      <c r="H6">
        <f>IF(High_Risk_Policies[[#This Row],[Smoker Status]]="Smoker",G6*1.5,G6)</f>
        <v>102.53396153846153</v>
      </c>
      <c r="I6">
        <f t="shared" ref="I6:I42" si="0">H6/(1-expense_load)</f>
        <v>113.92662393162391</v>
      </c>
    </row>
    <row r="7" spans="1:9" x14ac:dyDescent="0.25">
      <c r="A7" s="7" t="s">
        <v>7</v>
      </c>
      <c r="B7">
        <v>31</v>
      </c>
      <c r="C7" s="7" t="s">
        <v>106</v>
      </c>
      <c r="D7" s="7" t="s">
        <v>107</v>
      </c>
      <c r="E7">
        <v>812925</v>
      </c>
      <c r="F7">
        <f>INDEX(mort_table[],MATCH(High_Risk_Policies[[#This Row],[Age]],mort_table[Age],0),2)</f>
        <v>1.13E-4</v>
      </c>
      <c r="G7">
        <f>Premium_Data6[[#This Row],[Mortality]]*High_Risk_Policies[[#This Row],[Face Amount]]*((1+int_rate)^-1)</f>
        <v>88.327427884615375</v>
      </c>
      <c r="H7">
        <f>IF(High_Risk_Policies[[#This Row],[Smoker Status]]="Smoker",G7*1.5,G7)</f>
        <v>88.327427884615375</v>
      </c>
      <c r="I7">
        <f t="shared" si="0"/>
        <v>98.141586538461524</v>
      </c>
    </row>
    <row r="8" spans="1:9" x14ac:dyDescent="0.25">
      <c r="A8" s="7" t="s">
        <v>8</v>
      </c>
      <c r="B8">
        <v>28</v>
      </c>
      <c r="C8" s="7" t="s">
        <v>106</v>
      </c>
      <c r="D8" s="7" t="s">
        <v>107</v>
      </c>
      <c r="E8">
        <v>936704</v>
      </c>
      <c r="F8">
        <f>INDEX(mort_table[],MATCH(High_Risk_Policies[[#This Row],[Age]],mort_table[Age],0),2)</f>
        <v>1.1599999999999999E-4</v>
      </c>
      <c r="G8">
        <f>Premium_Data6[[#This Row],[Mortality]]*High_Risk_Policies[[#This Row],[Face Amount]]*((1+int_rate)^-1)</f>
        <v>104.47852307692305</v>
      </c>
      <c r="H8">
        <f>IF(High_Risk_Policies[[#This Row],[Smoker Status]]="Smoker",G8*1.5,G8)</f>
        <v>104.47852307692305</v>
      </c>
      <c r="I8">
        <f t="shared" si="0"/>
        <v>116.08724786324784</v>
      </c>
    </row>
    <row r="9" spans="1:9" x14ac:dyDescent="0.25">
      <c r="A9" s="7" t="s">
        <v>12</v>
      </c>
      <c r="B9">
        <v>32</v>
      </c>
      <c r="C9" s="7" t="s">
        <v>105</v>
      </c>
      <c r="D9" s="7" t="s">
        <v>107</v>
      </c>
      <c r="E9">
        <v>752816</v>
      </c>
      <c r="F9">
        <f>INDEX(mort_table[],MATCH(High_Risk_Policies[[#This Row],[Age]],mort_table[Age],0),2)</f>
        <v>1.1399999999999999E-4</v>
      </c>
      <c r="G9">
        <f>Premium_Data6[[#This Row],[Mortality]]*High_Risk_Policies[[#This Row],[Face Amount]]*((1+int_rate)^-1)</f>
        <v>82.520215384615369</v>
      </c>
      <c r="H9">
        <f>IF(High_Risk_Policies[[#This Row],[Smoker Status]]="Smoker",G9*1.5,G9)</f>
        <v>82.520215384615369</v>
      </c>
      <c r="I9">
        <f t="shared" si="0"/>
        <v>91.689128205128185</v>
      </c>
    </row>
    <row r="10" spans="1:9" x14ac:dyDescent="0.25">
      <c r="A10" s="7" t="s">
        <v>14</v>
      </c>
      <c r="B10">
        <v>27</v>
      </c>
      <c r="C10" s="7" t="s">
        <v>106</v>
      </c>
      <c r="D10" s="7" t="s">
        <v>108</v>
      </c>
      <c r="E10">
        <v>849232</v>
      </c>
      <c r="F10">
        <f>INDEX(mort_table[],MATCH(High_Risk_Policies[[#This Row],[Age]],mort_table[Age],0),2)</f>
        <v>1.17E-4</v>
      </c>
      <c r="G10">
        <f>Premium_Data6[[#This Row],[Mortality]]*High_Risk_Policies[[#This Row],[Face Amount]]*((1+int_rate)^-1)</f>
        <v>95.538599999999988</v>
      </c>
      <c r="H10">
        <f>IF(High_Risk_Policies[[#This Row],[Smoker Status]]="Smoker",G10*1.5,G10)</f>
        <v>143.30789999999999</v>
      </c>
      <c r="I10">
        <f t="shared" si="0"/>
        <v>159.23099999999999</v>
      </c>
    </row>
    <row r="11" spans="1:9" x14ac:dyDescent="0.25">
      <c r="A11" s="7" t="s">
        <v>16</v>
      </c>
      <c r="B11">
        <v>34</v>
      </c>
      <c r="C11" s="7" t="s">
        <v>105</v>
      </c>
      <c r="D11" s="7" t="s">
        <v>107</v>
      </c>
      <c r="E11">
        <v>891982</v>
      </c>
      <c r="F11">
        <f>INDEX(mort_table[],MATCH(High_Risk_Policies[[#This Row],[Age]],mort_table[Age],0),2)</f>
        <v>1.1899999999999999E-4</v>
      </c>
      <c r="G11">
        <f>Premium_Data6[[#This Row],[Mortality]]*High_Risk_Policies[[#This Row],[Face Amount]]*((1+int_rate)^-1)</f>
        <v>102.06332499999998</v>
      </c>
      <c r="H11">
        <f>IF(High_Risk_Policies[[#This Row],[Smoker Status]]="Smoker",G11*1.5,G11)</f>
        <v>102.06332499999998</v>
      </c>
      <c r="I11">
        <f t="shared" si="0"/>
        <v>113.40369444444441</v>
      </c>
    </row>
    <row r="12" spans="1:9" x14ac:dyDescent="0.25">
      <c r="A12" s="7" t="s">
        <v>20</v>
      </c>
      <c r="B12">
        <v>25</v>
      </c>
      <c r="C12" s="7" t="s">
        <v>106</v>
      </c>
      <c r="D12" s="7" t="s">
        <v>107</v>
      </c>
      <c r="E12">
        <v>816539</v>
      </c>
      <c r="F12">
        <f>INDEX(mort_table[],MATCH(High_Risk_Policies[[#This Row],[Age]],mort_table[Age],0),2)</f>
        <v>1.0900000000000001E-4</v>
      </c>
      <c r="G12">
        <f>Premium_Data6[[#This Row],[Mortality]]*High_Risk_Policies[[#This Row],[Face Amount]]*((1+int_rate)^-1)</f>
        <v>85.579568269230762</v>
      </c>
      <c r="H12">
        <f>IF(High_Risk_Policies[[#This Row],[Smoker Status]]="Smoker",G12*1.5,G12)</f>
        <v>85.579568269230762</v>
      </c>
      <c r="I12">
        <f t="shared" si="0"/>
        <v>95.088409188034177</v>
      </c>
    </row>
    <row r="13" spans="1:9" x14ac:dyDescent="0.25">
      <c r="A13" s="7" t="s">
        <v>23</v>
      </c>
      <c r="B13">
        <v>32</v>
      </c>
      <c r="C13" s="7" t="s">
        <v>105</v>
      </c>
      <c r="D13" s="7" t="s">
        <v>107</v>
      </c>
      <c r="E13">
        <v>913426</v>
      </c>
      <c r="F13">
        <f>INDEX(mort_table[],MATCH(High_Risk_Policies[[#This Row],[Age]],mort_table[Age],0),2)</f>
        <v>1.1399999999999999E-4</v>
      </c>
      <c r="G13">
        <f>Premium_Data6[[#This Row],[Mortality]]*High_Risk_Policies[[#This Row],[Face Amount]]*((1+int_rate)^-1)</f>
        <v>100.12554230769229</v>
      </c>
      <c r="H13">
        <f>IF(High_Risk_Policies[[#This Row],[Smoker Status]]="Smoker",G13*1.5,G13)</f>
        <v>100.12554230769229</v>
      </c>
      <c r="I13">
        <f t="shared" si="0"/>
        <v>111.25060256410254</v>
      </c>
    </row>
    <row r="14" spans="1:9" x14ac:dyDescent="0.25">
      <c r="A14" s="7" t="s">
        <v>25</v>
      </c>
      <c r="B14">
        <v>38</v>
      </c>
      <c r="C14" s="7" t="s">
        <v>106</v>
      </c>
      <c r="D14" s="7" t="s">
        <v>107</v>
      </c>
      <c r="E14">
        <v>915754</v>
      </c>
      <c r="F14">
        <f>INDEX(mort_table[],MATCH(High_Risk_Policies[[#This Row],[Age]],mort_table[Age],0),2)</f>
        <v>1.4899999999999999E-4</v>
      </c>
      <c r="G14">
        <f>Premium_Data6[[#This Row],[Mortality]]*High_Risk_Policies[[#This Row],[Face Amount]]*((1+int_rate)^-1)</f>
        <v>131.19937115384613</v>
      </c>
      <c r="H14">
        <f>IF(High_Risk_Policies[[#This Row],[Smoker Status]]="Smoker",G14*1.5,G14)</f>
        <v>131.19937115384613</v>
      </c>
      <c r="I14">
        <f t="shared" si="0"/>
        <v>145.77707905982902</v>
      </c>
    </row>
    <row r="15" spans="1:9" x14ac:dyDescent="0.25">
      <c r="A15" s="7" t="s">
        <v>26</v>
      </c>
      <c r="B15">
        <v>21</v>
      </c>
      <c r="C15" s="7" t="s">
        <v>105</v>
      </c>
      <c r="D15" s="7" t="s">
        <v>107</v>
      </c>
      <c r="E15">
        <v>809352</v>
      </c>
      <c r="F15">
        <f>INDEX(mort_table[],MATCH(High_Risk_Policies[[#This Row],[Age]],mort_table[Age],0),2)</f>
        <v>1.01E-4</v>
      </c>
      <c r="G15">
        <f>Premium_Data6[[#This Row],[Mortality]]*High_Risk_Policies[[#This Row],[Face Amount]]*((1+int_rate)^-1)</f>
        <v>78.600530769230758</v>
      </c>
      <c r="H15">
        <f>IF(High_Risk_Policies[[#This Row],[Smoker Status]]="Smoker",G15*1.5,G15)</f>
        <v>78.600530769230758</v>
      </c>
      <c r="I15">
        <f t="shared" si="0"/>
        <v>87.333923076923057</v>
      </c>
    </row>
    <row r="16" spans="1:9" x14ac:dyDescent="0.25">
      <c r="A16" s="7" t="s">
        <v>27</v>
      </c>
      <c r="B16">
        <v>20</v>
      </c>
      <c r="C16" s="7" t="s">
        <v>106</v>
      </c>
      <c r="D16" s="7" t="s">
        <v>107</v>
      </c>
      <c r="E16">
        <v>916041</v>
      </c>
      <c r="F16">
        <f>INDEX(mort_table[],MATCH(High_Risk_Policies[[#This Row],[Age]],mort_table[Age],0),2)</f>
        <v>1E-4</v>
      </c>
      <c r="G16">
        <f>Premium_Data6[[#This Row],[Mortality]]*High_Risk_Policies[[#This Row],[Face Amount]]*((1+int_rate)^-1)</f>
        <v>88.080865384615379</v>
      </c>
      <c r="H16">
        <f>IF(High_Risk_Policies[[#This Row],[Smoker Status]]="Smoker",G16*1.5,G16)</f>
        <v>88.080865384615379</v>
      </c>
      <c r="I16">
        <f t="shared" si="0"/>
        <v>97.867628205128199</v>
      </c>
    </row>
    <row r="17" spans="1:9" x14ac:dyDescent="0.25">
      <c r="A17" s="7" t="s">
        <v>29</v>
      </c>
      <c r="B17">
        <v>24</v>
      </c>
      <c r="C17" s="7" t="s">
        <v>106</v>
      </c>
      <c r="D17" s="7" t="s">
        <v>108</v>
      </c>
      <c r="E17">
        <v>929438</v>
      </c>
      <c r="F17">
        <f>INDEX(mort_table[],MATCH(High_Risk_Policies[[#This Row],[Age]],mort_table[Age],0),2)</f>
        <v>1.06E-4</v>
      </c>
      <c r="G17">
        <f>Premium_Data6[[#This Row],[Mortality]]*High_Risk_Policies[[#This Row],[Face Amount]]*((1+int_rate)^-1)</f>
        <v>94.731180769230761</v>
      </c>
      <c r="H17">
        <f>IF(High_Risk_Policies[[#This Row],[Smoker Status]]="Smoker",G17*1.5,G17)</f>
        <v>142.09677115384613</v>
      </c>
      <c r="I17">
        <f t="shared" si="0"/>
        <v>157.88530128205124</v>
      </c>
    </row>
    <row r="18" spans="1:9" x14ac:dyDescent="0.25">
      <c r="A18" s="7" t="s">
        <v>35</v>
      </c>
      <c r="B18">
        <v>40</v>
      </c>
      <c r="C18" s="7" t="s">
        <v>106</v>
      </c>
      <c r="D18" s="7" t="s">
        <v>107</v>
      </c>
      <c r="E18">
        <v>822817</v>
      </c>
      <c r="F18">
        <f>INDEX(mort_table[],MATCH(High_Risk_Policies[[#This Row],[Age]],mort_table[Age],0),2)</f>
        <v>1.7200000000000001E-4</v>
      </c>
      <c r="G18">
        <f>Premium_Data6[[#This Row],[Mortality]]*High_Risk_Policies[[#This Row],[Face Amount]]*((1+int_rate)^-1)</f>
        <v>136.08127307692308</v>
      </c>
      <c r="H18">
        <f>IF(High_Risk_Policies[[#This Row],[Smoker Status]]="Smoker",G18*1.5,G18)</f>
        <v>136.08127307692308</v>
      </c>
      <c r="I18">
        <f t="shared" si="0"/>
        <v>151.20141452991453</v>
      </c>
    </row>
    <row r="19" spans="1:9" x14ac:dyDescent="0.25">
      <c r="A19" s="7" t="s">
        <v>37</v>
      </c>
      <c r="B19">
        <v>30</v>
      </c>
      <c r="C19" s="7" t="s">
        <v>105</v>
      </c>
      <c r="D19" s="7" t="s">
        <v>107</v>
      </c>
      <c r="E19">
        <v>809494</v>
      </c>
      <c r="F19">
        <f>INDEX(mort_table[],MATCH(High_Risk_Policies[[#This Row],[Age]],mort_table[Age],0),2)</f>
        <v>1.1399999999999999E-4</v>
      </c>
      <c r="G19">
        <f>Premium_Data6[[#This Row],[Mortality]]*High_Risk_Policies[[#This Row],[Face Amount]]*((1+int_rate)^-1)</f>
        <v>88.732996153846145</v>
      </c>
      <c r="H19">
        <f>IF(High_Risk_Policies[[#This Row],[Smoker Status]]="Smoker",G19*1.5,G19)</f>
        <v>88.732996153846145</v>
      </c>
      <c r="I19">
        <f t="shared" si="0"/>
        <v>98.592217948717931</v>
      </c>
    </row>
    <row r="20" spans="1:9" x14ac:dyDescent="0.25">
      <c r="A20" s="7" t="s">
        <v>44</v>
      </c>
      <c r="B20">
        <v>30</v>
      </c>
      <c r="C20" s="7" t="s">
        <v>105</v>
      </c>
      <c r="D20" s="7" t="s">
        <v>108</v>
      </c>
      <c r="E20">
        <v>983536</v>
      </c>
      <c r="F20">
        <f>INDEX(mort_table[],MATCH(High_Risk_Policies[[#This Row],[Age]],mort_table[Age],0),2)</f>
        <v>1.1399999999999999E-4</v>
      </c>
      <c r="G20">
        <f>Premium_Data6[[#This Row],[Mortality]]*High_Risk_Policies[[#This Row],[Face Amount]]*((1+int_rate)^-1)</f>
        <v>107.81067692307691</v>
      </c>
      <c r="H20">
        <f>IF(High_Risk_Policies[[#This Row],[Smoker Status]]="Smoker",G20*1.5,G20)</f>
        <v>161.71601538461536</v>
      </c>
      <c r="I20">
        <f t="shared" si="0"/>
        <v>179.68446153846151</v>
      </c>
    </row>
    <row r="21" spans="1:9" x14ac:dyDescent="0.25">
      <c r="A21" s="7" t="s">
        <v>48</v>
      </c>
      <c r="B21">
        <v>35</v>
      </c>
      <c r="C21" s="7" t="s">
        <v>106</v>
      </c>
      <c r="D21" s="7" t="s">
        <v>107</v>
      </c>
      <c r="E21">
        <v>891574</v>
      </c>
      <c r="F21">
        <f>INDEX(mort_table[],MATCH(High_Risk_Policies[[#This Row],[Age]],mort_table[Age],0),2)</f>
        <v>1.2400000000000001E-4</v>
      </c>
      <c r="G21">
        <f>Premium_Data6[[#This Row],[Mortality]]*High_Risk_Policies[[#This Row],[Face Amount]]*((1+int_rate)^-1)</f>
        <v>106.30305384615384</v>
      </c>
      <c r="H21">
        <f>IF(High_Risk_Policies[[#This Row],[Smoker Status]]="Smoker",G21*1.5,G21)</f>
        <v>106.30305384615384</v>
      </c>
      <c r="I21">
        <f t="shared" si="0"/>
        <v>118.11450427350427</v>
      </c>
    </row>
    <row r="22" spans="1:9" x14ac:dyDescent="0.25">
      <c r="A22" s="7" t="s">
        <v>49</v>
      </c>
      <c r="B22">
        <v>22</v>
      </c>
      <c r="C22" s="7" t="s">
        <v>106</v>
      </c>
      <c r="D22" s="7" t="s">
        <v>107</v>
      </c>
      <c r="E22">
        <v>770892</v>
      </c>
      <c r="F22">
        <f>INDEX(mort_table[],MATCH(High_Risk_Policies[[#This Row],[Age]],mort_table[Age],0),2)</f>
        <v>1.02E-4</v>
      </c>
      <c r="G22">
        <f>Premium_Data6[[#This Row],[Mortality]]*High_Risk_Policies[[#This Row],[Face Amount]]*((1+int_rate)^-1)</f>
        <v>75.60671538461537</v>
      </c>
      <c r="H22">
        <f>IF(High_Risk_Policies[[#This Row],[Smoker Status]]="Smoker",G22*1.5,G22)</f>
        <v>75.60671538461537</v>
      </c>
      <c r="I22">
        <f t="shared" si="0"/>
        <v>84.007461538461527</v>
      </c>
    </row>
    <row r="23" spans="1:9" x14ac:dyDescent="0.25">
      <c r="A23" s="7" t="s">
        <v>50</v>
      </c>
      <c r="B23">
        <v>20</v>
      </c>
      <c r="C23" s="7" t="s">
        <v>106</v>
      </c>
      <c r="D23" s="7" t="s">
        <v>107</v>
      </c>
      <c r="E23">
        <v>765993</v>
      </c>
      <c r="F23">
        <f>INDEX(mort_table[],MATCH(High_Risk_Policies[[#This Row],[Age]],mort_table[Age],0),2)</f>
        <v>1E-4</v>
      </c>
      <c r="G23">
        <f>Premium_Data6[[#This Row],[Mortality]]*High_Risk_Policies[[#This Row],[Face Amount]]*((1+int_rate)^-1)</f>
        <v>73.653173076923068</v>
      </c>
      <c r="H23">
        <f>IF(High_Risk_Policies[[#This Row],[Smoker Status]]="Smoker",G23*1.5,G23)</f>
        <v>73.653173076923068</v>
      </c>
      <c r="I23">
        <f t="shared" si="0"/>
        <v>81.836858974358961</v>
      </c>
    </row>
    <row r="24" spans="1:9" x14ac:dyDescent="0.25">
      <c r="A24" s="7" t="s">
        <v>51</v>
      </c>
      <c r="B24">
        <v>28</v>
      </c>
      <c r="C24" s="7" t="s">
        <v>105</v>
      </c>
      <c r="D24" s="7" t="s">
        <v>108</v>
      </c>
      <c r="E24">
        <v>937375</v>
      </c>
      <c r="F24">
        <f>INDEX(mort_table[],MATCH(High_Risk_Policies[[#This Row],[Age]],mort_table[Age],0),2)</f>
        <v>1.1599999999999999E-4</v>
      </c>
      <c r="G24">
        <f>Premium_Data6[[#This Row],[Mortality]]*High_Risk_Policies[[#This Row],[Face Amount]]*((1+int_rate)^-1)</f>
        <v>104.55336538461536</v>
      </c>
      <c r="H24">
        <f>IF(High_Risk_Policies[[#This Row],[Smoker Status]]="Smoker",G24*1.5,G24)</f>
        <v>156.83004807692305</v>
      </c>
      <c r="I24">
        <f t="shared" si="0"/>
        <v>174.25560897435895</v>
      </c>
    </row>
    <row r="25" spans="1:9" x14ac:dyDescent="0.25">
      <c r="A25" s="7" t="s">
        <v>52</v>
      </c>
      <c r="B25">
        <v>33</v>
      </c>
      <c r="C25" s="7" t="s">
        <v>105</v>
      </c>
      <c r="D25" s="7" t="s">
        <v>107</v>
      </c>
      <c r="E25">
        <v>982491</v>
      </c>
      <c r="F25">
        <f>INDEX(mort_table[],MATCH(High_Risk_Policies[[#This Row],[Age]],mort_table[Age],0),2)</f>
        <v>1.1599999999999999E-4</v>
      </c>
      <c r="G25">
        <f>Premium_Data6[[#This Row],[Mortality]]*High_Risk_Policies[[#This Row],[Face Amount]]*((1+int_rate)^-1)</f>
        <v>109.5855346153846</v>
      </c>
      <c r="H25">
        <f>IF(High_Risk_Policies[[#This Row],[Smoker Status]]="Smoker",G25*1.5,G25)</f>
        <v>109.5855346153846</v>
      </c>
      <c r="I25">
        <f t="shared" si="0"/>
        <v>121.76170512820511</v>
      </c>
    </row>
    <row r="26" spans="1:9" x14ac:dyDescent="0.25">
      <c r="A26" s="7" t="s">
        <v>54</v>
      </c>
      <c r="B26">
        <v>21</v>
      </c>
      <c r="C26" s="7" t="s">
        <v>105</v>
      </c>
      <c r="D26" s="7" t="s">
        <v>107</v>
      </c>
      <c r="E26">
        <v>816099</v>
      </c>
      <c r="F26">
        <f>INDEX(mort_table[],MATCH(High_Risk_Policies[[#This Row],[Age]],mort_table[Age],0),2)</f>
        <v>1.01E-4</v>
      </c>
      <c r="G26">
        <f>Premium_Data6[[#This Row],[Mortality]]*High_Risk_Policies[[#This Row],[Face Amount]]*((1+int_rate)^-1)</f>
        <v>79.255768269230771</v>
      </c>
      <c r="H26">
        <f>IF(High_Risk_Policies[[#This Row],[Smoker Status]]="Smoker",G26*1.5,G26)</f>
        <v>79.255768269230771</v>
      </c>
      <c r="I26">
        <f t="shared" si="0"/>
        <v>88.061964743589741</v>
      </c>
    </row>
    <row r="27" spans="1:9" x14ac:dyDescent="0.25">
      <c r="A27" s="7" t="s">
        <v>60</v>
      </c>
      <c r="B27">
        <v>36</v>
      </c>
      <c r="C27" s="7" t="s">
        <v>106</v>
      </c>
      <c r="D27" s="7" t="s">
        <v>108</v>
      </c>
      <c r="E27">
        <v>954206</v>
      </c>
      <c r="F27">
        <f>INDEX(mort_table[],MATCH(High_Risk_Policies[[#This Row],[Age]],mort_table[Age],0),2)</f>
        <v>1.3100000000000001E-4</v>
      </c>
      <c r="G27">
        <f>Premium_Data6[[#This Row],[Mortality]]*High_Risk_Policies[[#This Row],[Face Amount]]*((1+int_rate)^-1)</f>
        <v>120.19325576923077</v>
      </c>
      <c r="H27">
        <f>IF(High_Risk_Policies[[#This Row],[Smoker Status]]="Smoker",G27*1.5,G27)</f>
        <v>180.28988365384618</v>
      </c>
      <c r="I27">
        <f t="shared" si="0"/>
        <v>200.32209294871797</v>
      </c>
    </row>
    <row r="28" spans="1:9" x14ac:dyDescent="0.25">
      <c r="A28" s="7" t="s">
        <v>61</v>
      </c>
      <c r="B28">
        <v>34</v>
      </c>
      <c r="C28" s="7" t="s">
        <v>105</v>
      </c>
      <c r="D28" s="7" t="s">
        <v>107</v>
      </c>
      <c r="E28">
        <v>897195</v>
      </c>
      <c r="F28">
        <f>INDEX(mort_table[],MATCH(High_Risk_Policies[[#This Row],[Age]],mort_table[Age],0),2)</f>
        <v>1.1899999999999999E-4</v>
      </c>
      <c r="G28">
        <f>Premium_Data6[[#This Row],[Mortality]]*High_Risk_Policies[[#This Row],[Face Amount]]*((1+int_rate)^-1)</f>
        <v>102.65981249999999</v>
      </c>
      <c r="H28">
        <f>IF(High_Risk_Policies[[#This Row],[Smoker Status]]="Smoker",G28*1.5,G28)</f>
        <v>102.65981249999999</v>
      </c>
      <c r="I28">
        <f t="shared" si="0"/>
        <v>114.06645833333332</v>
      </c>
    </row>
    <row r="29" spans="1:9" x14ac:dyDescent="0.25">
      <c r="A29" s="7" t="s">
        <v>63</v>
      </c>
      <c r="B29">
        <v>33</v>
      </c>
      <c r="C29" s="7" t="s">
        <v>106</v>
      </c>
      <c r="D29" s="7" t="s">
        <v>107</v>
      </c>
      <c r="E29">
        <v>954214</v>
      </c>
      <c r="F29">
        <f>INDEX(mort_table[],MATCH(High_Risk_Policies[[#This Row],[Age]],mort_table[Age],0),2)</f>
        <v>1.1599999999999999E-4</v>
      </c>
      <c r="G29">
        <f>Premium_Data6[[#This Row],[Mortality]]*High_Risk_Policies[[#This Row],[Face Amount]]*((1+int_rate)^-1)</f>
        <v>106.43156153846151</v>
      </c>
      <c r="H29">
        <f>IF(High_Risk_Policies[[#This Row],[Smoker Status]]="Smoker",G29*1.5,G29)</f>
        <v>106.43156153846151</v>
      </c>
      <c r="I29">
        <f t="shared" si="0"/>
        <v>118.25729059829057</v>
      </c>
    </row>
    <row r="30" spans="1:9" x14ac:dyDescent="0.25">
      <c r="A30" s="7" t="s">
        <v>64</v>
      </c>
      <c r="B30">
        <v>36</v>
      </c>
      <c r="C30" s="7" t="s">
        <v>106</v>
      </c>
      <c r="D30" s="7" t="s">
        <v>107</v>
      </c>
      <c r="E30">
        <v>852408</v>
      </c>
      <c r="F30">
        <f>INDEX(mort_table[],MATCH(High_Risk_Policies[[#This Row],[Age]],mort_table[Age],0),2)</f>
        <v>1.3100000000000001E-4</v>
      </c>
      <c r="G30">
        <f>Premium_Data6[[#This Row],[Mortality]]*High_Risk_Policies[[#This Row],[Face Amount]]*((1+int_rate)^-1)</f>
        <v>107.37062307692308</v>
      </c>
      <c r="H30">
        <f>IF(High_Risk_Policies[[#This Row],[Smoker Status]]="Smoker",G30*1.5,G30)</f>
        <v>107.37062307692308</v>
      </c>
      <c r="I30">
        <f t="shared" si="0"/>
        <v>119.30069230769232</v>
      </c>
    </row>
    <row r="31" spans="1:9" x14ac:dyDescent="0.25">
      <c r="A31" s="7" t="s">
        <v>70</v>
      </c>
      <c r="B31">
        <v>21</v>
      </c>
      <c r="C31" s="7" t="s">
        <v>106</v>
      </c>
      <c r="D31" s="7" t="s">
        <v>107</v>
      </c>
      <c r="E31">
        <v>972160</v>
      </c>
      <c r="F31">
        <f>INDEX(mort_table[],MATCH(High_Risk_Policies[[#This Row],[Age]],mort_table[Age],0),2)</f>
        <v>1.01E-4</v>
      </c>
      <c r="G31">
        <f>Premium_Data6[[#This Row],[Mortality]]*High_Risk_Policies[[#This Row],[Face Amount]]*((1+int_rate)^-1)</f>
        <v>94.411692307692292</v>
      </c>
      <c r="H31">
        <f>IF(High_Risk_Policies[[#This Row],[Smoker Status]]="Smoker",G31*1.5,G31)</f>
        <v>94.411692307692292</v>
      </c>
      <c r="I31">
        <f t="shared" si="0"/>
        <v>104.90188034188031</v>
      </c>
    </row>
    <row r="32" spans="1:9" x14ac:dyDescent="0.25">
      <c r="A32" s="7" t="s">
        <v>76</v>
      </c>
      <c r="B32">
        <v>39</v>
      </c>
      <c r="C32" s="7" t="s">
        <v>106</v>
      </c>
      <c r="D32" s="7" t="s">
        <v>107</v>
      </c>
      <c r="E32">
        <v>885500</v>
      </c>
      <c r="F32">
        <f>INDEX(mort_table[],MATCH(High_Risk_Policies[[#This Row],[Age]],mort_table[Age],0),2)</f>
        <v>1.5900000000000002E-4</v>
      </c>
      <c r="G32">
        <f>Premium_Data6[[#This Row],[Mortality]]*High_Risk_Policies[[#This Row],[Face Amount]]*((1+int_rate)^-1)</f>
        <v>135.37932692307695</v>
      </c>
      <c r="H32">
        <f>IF(High_Risk_Policies[[#This Row],[Smoker Status]]="Smoker",G32*1.5,G32)</f>
        <v>135.37932692307695</v>
      </c>
      <c r="I32">
        <f t="shared" si="0"/>
        <v>150.42147435897439</v>
      </c>
    </row>
    <row r="33" spans="1:9" x14ac:dyDescent="0.25">
      <c r="A33" s="7" t="s">
        <v>85</v>
      </c>
      <c r="B33">
        <v>30</v>
      </c>
      <c r="C33" s="7" t="s">
        <v>106</v>
      </c>
      <c r="D33" s="7" t="s">
        <v>107</v>
      </c>
      <c r="E33">
        <v>791969</v>
      </c>
      <c r="F33">
        <f>INDEX(mort_table[],MATCH(High_Risk_Policies[[#This Row],[Age]],mort_table[Age],0),2)</f>
        <v>1.1399999999999999E-4</v>
      </c>
      <c r="G33">
        <f>Premium_Data6[[#This Row],[Mortality]]*High_Risk_Policies[[#This Row],[Face Amount]]*((1+int_rate)^-1)</f>
        <v>86.811986538461525</v>
      </c>
      <c r="H33">
        <f>IF(High_Risk_Policies[[#This Row],[Smoker Status]]="Smoker",G33*1.5,G33)</f>
        <v>86.811986538461525</v>
      </c>
      <c r="I33">
        <f t="shared" si="0"/>
        <v>96.457762820512798</v>
      </c>
    </row>
    <row r="34" spans="1:9" x14ac:dyDescent="0.25">
      <c r="A34" s="7" t="s">
        <v>86</v>
      </c>
      <c r="B34">
        <v>27</v>
      </c>
      <c r="C34" s="7" t="s">
        <v>105</v>
      </c>
      <c r="D34" s="7" t="s">
        <v>107</v>
      </c>
      <c r="E34">
        <v>797355</v>
      </c>
      <c r="F34">
        <f>INDEX(mort_table[],MATCH(High_Risk_Policies[[#This Row],[Age]],mort_table[Age],0),2)</f>
        <v>1.17E-4</v>
      </c>
      <c r="G34">
        <f>Premium_Data6[[#This Row],[Mortality]]*High_Risk_Policies[[#This Row],[Face Amount]]*((1+int_rate)^-1)</f>
        <v>89.702437499999988</v>
      </c>
      <c r="H34">
        <f>IF(High_Risk_Policies[[#This Row],[Smoker Status]]="Smoker",G34*1.5,G34)</f>
        <v>89.702437499999988</v>
      </c>
      <c r="I34">
        <f t="shared" si="0"/>
        <v>99.669374999999988</v>
      </c>
    </row>
    <row r="35" spans="1:9" x14ac:dyDescent="0.25">
      <c r="A35" s="7" t="s">
        <v>88</v>
      </c>
      <c r="B35">
        <v>22</v>
      </c>
      <c r="C35" s="7" t="s">
        <v>106</v>
      </c>
      <c r="D35" s="7" t="s">
        <v>107</v>
      </c>
      <c r="E35">
        <v>892946</v>
      </c>
      <c r="F35">
        <f>INDEX(mort_table[],MATCH(High_Risk_Policies[[#This Row],[Age]],mort_table[Age],0),2)</f>
        <v>1.02E-4</v>
      </c>
      <c r="G35">
        <f>Premium_Data6[[#This Row],[Mortality]]*High_Risk_Policies[[#This Row],[Face Amount]]*((1+int_rate)^-1)</f>
        <v>87.577396153846138</v>
      </c>
      <c r="H35">
        <f>IF(High_Risk_Policies[[#This Row],[Smoker Status]]="Smoker",G35*1.5,G35)</f>
        <v>87.577396153846138</v>
      </c>
      <c r="I35">
        <f t="shared" si="0"/>
        <v>97.308217948717925</v>
      </c>
    </row>
    <row r="36" spans="1:9" x14ac:dyDescent="0.25">
      <c r="A36" s="7" t="s">
        <v>90</v>
      </c>
      <c r="B36">
        <v>28</v>
      </c>
      <c r="C36" s="7" t="s">
        <v>106</v>
      </c>
      <c r="D36" s="7" t="s">
        <v>108</v>
      </c>
      <c r="E36">
        <v>976299</v>
      </c>
      <c r="F36">
        <f>INDEX(mort_table[],MATCH(High_Risk_Policies[[#This Row],[Age]],mort_table[Age],0),2)</f>
        <v>1.1599999999999999E-4</v>
      </c>
      <c r="G36">
        <f>Premium_Data6[[#This Row],[Mortality]]*High_Risk_Policies[[#This Row],[Face Amount]]*((1+int_rate)^-1)</f>
        <v>108.89488846153844</v>
      </c>
      <c r="H36">
        <f>IF(High_Risk_Policies[[#This Row],[Smoker Status]]="Smoker",G36*1.5,G36)</f>
        <v>163.34233269230765</v>
      </c>
      <c r="I36">
        <f t="shared" si="0"/>
        <v>181.49148076923072</v>
      </c>
    </row>
    <row r="37" spans="1:9" x14ac:dyDescent="0.25">
      <c r="A37" s="7" t="s">
        <v>91</v>
      </c>
      <c r="B37">
        <v>31</v>
      </c>
      <c r="C37" s="7" t="s">
        <v>106</v>
      </c>
      <c r="D37" s="7" t="s">
        <v>107</v>
      </c>
      <c r="E37">
        <v>842500</v>
      </c>
      <c r="F37">
        <f>INDEX(mort_table[],MATCH(High_Risk_Policies[[#This Row],[Age]],mort_table[Age],0),2)</f>
        <v>1.13E-4</v>
      </c>
      <c r="G37">
        <f>Premium_Data6[[#This Row],[Mortality]]*High_Risk_Policies[[#This Row],[Face Amount]]*((1+int_rate)^-1)</f>
        <v>91.540865384615373</v>
      </c>
      <c r="H37">
        <f>IF(High_Risk_Policies[[#This Row],[Smoker Status]]="Smoker",G37*1.5,G37)</f>
        <v>91.540865384615373</v>
      </c>
      <c r="I37">
        <f t="shared" si="0"/>
        <v>101.71207264957263</v>
      </c>
    </row>
    <row r="38" spans="1:9" x14ac:dyDescent="0.25">
      <c r="A38" s="7" t="s">
        <v>93</v>
      </c>
      <c r="B38">
        <v>31</v>
      </c>
      <c r="C38" s="7" t="s">
        <v>105</v>
      </c>
      <c r="D38" s="7" t="s">
        <v>107</v>
      </c>
      <c r="E38">
        <v>839283</v>
      </c>
      <c r="F38">
        <f>INDEX(mort_table[],MATCH(High_Risk_Policies[[#This Row],[Age]],mort_table[Age],0),2)</f>
        <v>1.13E-4</v>
      </c>
      <c r="G38">
        <f>Premium_Data6[[#This Row],[Mortality]]*High_Risk_Policies[[#This Row],[Face Amount]]*((1+int_rate)^-1)</f>
        <v>91.191325961538453</v>
      </c>
      <c r="H38">
        <f>IF(High_Risk_Policies[[#This Row],[Smoker Status]]="Smoker",G38*1.5,G38)</f>
        <v>91.191325961538453</v>
      </c>
      <c r="I38">
        <f t="shared" si="0"/>
        <v>101.32369551282051</v>
      </c>
    </row>
    <row r="39" spans="1:9" x14ac:dyDescent="0.25">
      <c r="A39" s="7" t="s">
        <v>94</v>
      </c>
      <c r="B39">
        <v>24</v>
      </c>
      <c r="C39" s="7" t="s">
        <v>105</v>
      </c>
      <c r="D39" s="7" t="s">
        <v>107</v>
      </c>
      <c r="E39">
        <v>915888</v>
      </c>
      <c r="F39">
        <f>INDEX(mort_table[],MATCH(High_Risk_Policies[[#This Row],[Age]],mort_table[Age],0),2)</f>
        <v>1.06E-4</v>
      </c>
      <c r="G39">
        <f>Premium_Data6[[#This Row],[Mortality]]*High_Risk_Policies[[#This Row],[Face Amount]]*((1+int_rate)^-1)</f>
        <v>93.350123076923069</v>
      </c>
      <c r="H39">
        <f>IF(High_Risk_Policies[[#This Row],[Smoker Status]]="Smoker",G39*1.5,G39)</f>
        <v>93.350123076923069</v>
      </c>
      <c r="I39">
        <f t="shared" si="0"/>
        <v>103.72235897435897</v>
      </c>
    </row>
    <row r="40" spans="1:9" x14ac:dyDescent="0.25">
      <c r="A40" s="7" t="s">
        <v>96</v>
      </c>
      <c r="B40">
        <v>27</v>
      </c>
      <c r="C40" s="7" t="s">
        <v>105</v>
      </c>
      <c r="D40" s="7" t="s">
        <v>108</v>
      </c>
      <c r="E40">
        <v>994764</v>
      </c>
      <c r="F40">
        <f>INDEX(mort_table[],MATCH(High_Risk_Policies[[#This Row],[Age]],mort_table[Age],0),2)</f>
        <v>1.17E-4</v>
      </c>
      <c r="G40">
        <f>Premium_Data6[[#This Row],[Mortality]]*High_Risk_Policies[[#This Row],[Face Amount]]*((1+int_rate)^-1)</f>
        <v>111.91094999999999</v>
      </c>
      <c r="H40">
        <f>IF(High_Risk_Policies[[#This Row],[Smoker Status]]="Smoker",G40*1.5,G40)</f>
        <v>167.86642499999999</v>
      </c>
      <c r="I40">
        <f t="shared" si="0"/>
        <v>186.51824999999999</v>
      </c>
    </row>
    <row r="41" spans="1:9" x14ac:dyDescent="0.25">
      <c r="A41" s="7" t="s">
        <v>97</v>
      </c>
      <c r="B41">
        <v>26</v>
      </c>
      <c r="C41" s="7" t="s">
        <v>106</v>
      </c>
      <c r="D41" s="7" t="s">
        <v>107</v>
      </c>
      <c r="E41">
        <v>915044</v>
      </c>
      <c r="F41">
        <f>INDEX(mort_table[],MATCH(High_Risk_Policies[[#This Row],[Age]],mort_table[Age],0),2)</f>
        <v>1.1399999999999999E-4</v>
      </c>
      <c r="G41">
        <f>Premium_Data6[[#This Row],[Mortality]]*High_Risk_Policies[[#This Row],[Face Amount]]*((1+int_rate)^-1)</f>
        <v>100.30289999999999</v>
      </c>
      <c r="H41">
        <f>IF(High_Risk_Policies[[#This Row],[Smoker Status]]="Smoker",G41*1.5,G41)</f>
        <v>100.30289999999999</v>
      </c>
      <c r="I41">
        <f t="shared" si="0"/>
        <v>111.44766666666666</v>
      </c>
    </row>
    <row r="42" spans="1:9" x14ac:dyDescent="0.25">
      <c r="A42" s="7" t="s">
        <v>102</v>
      </c>
      <c r="B42">
        <v>30</v>
      </c>
      <c r="C42" s="7" t="s">
        <v>106</v>
      </c>
      <c r="D42" s="7" t="s">
        <v>107</v>
      </c>
      <c r="E42">
        <v>990431</v>
      </c>
      <c r="F42">
        <f>INDEX(mort_table[],MATCH(High_Risk_Policies[[#This Row],[Age]],mort_table[Age],0),2)</f>
        <v>1.1399999999999999E-4</v>
      </c>
      <c r="G42">
        <f>Premium_Data6[[#This Row],[Mortality]]*High_Risk_Policies[[#This Row],[Face Amount]]*((1+int_rate)^-1)</f>
        <v>108.56647499999998</v>
      </c>
      <c r="H42">
        <f>IF(High_Risk_Policies[[#This Row],[Smoker Status]]="Smoker",G42*1.5,G42)</f>
        <v>108.56647499999998</v>
      </c>
      <c r="I42">
        <f t="shared" si="0"/>
        <v>120.62941666666664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13AF9A-EF32-4D7E-ACA3-2152A7DF0F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Input Data</vt:lpstr>
      <vt:lpstr>Tables</vt:lpstr>
      <vt:lpstr>Premium Calulation</vt:lpstr>
      <vt:lpstr>Premium by Age</vt:lpstr>
      <vt:lpstr>Premium by Smoker Status</vt:lpstr>
      <vt:lpstr>High_Risk_Policies</vt:lpstr>
      <vt:lpstr>expense_load</vt:lpstr>
      <vt:lpstr>int_rate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Agarwal</dc:creator>
  <cp:lastModifiedBy>Harsh Agarwal</cp:lastModifiedBy>
  <dcterms:created xsi:type="dcterms:W3CDTF">2025-12-14T05:06:46Z</dcterms:created>
  <dcterms:modified xsi:type="dcterms:W3CDTF">2025-12-14T07:51:29Z</dcterms:modified>
</cp:coreProperties>
</file>